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정희웅\Desktop\"/>
    </mc:Choice>
  </mc:AlternateContent>
  <xr:revisionPtr revIDLastSave="0" documentId="8_{1F851078-0D9B-40FD-B1FE-F2340FE703E8}" xr6:coauthVersionLast="47" xr6:coauthVersionMax="47" xr10:uidLastSave="{00000000-0000-0000-0000-000000000000}"/>
  <bookViews>
    <workbookView xWindow="-5340" yWindow="-21720" windowWidth="38640" windowHeight="21120" activeTab="2" xr2:uid="{8518A649-24A4-4E60-B5BF-B49DC9E2648B}"/>
  </bookViews>
  <sheets>
    <sheet name="사용설명" sheetId="5" r:id="rId1"/>
    <sheet name="사원명부" sheetId="2" r:id="rId2"/>
    <sheet name="휴가대장 관리용" sheetId="1" r:id="rId3"/>
    <sheet name="휴가대장 출력용" sheetId="4" r:id="rId4"/>
    <sheet name="관련정보" sheetId="6" r:id="rId5"/>
    <sheet name="Sheet1 (2)" sheetId="8" r:id="rId6"/>
  </sheets>
  <definedNames>
    <definedName name="_xlnm._FilterDatabase" localSheetId="5" hidden="1">'Sheet1 (2)'!$Q$17:$R$17</definedName>
    <definedName name="_xlnm.Print_Area" localSheetId="3">'휴가대장 출력용'!$A$4:$R$112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8" l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9" i="8"/>
  <c r="C30" i="8"/>
  <c r="C2" i="8"/>
  <c r="H13" i="4" l="1"/>
  <c r="A7" i="4"/>
  <c r="W12" i="1" l="1"/>
  <c r="G14" i="4" l="1"/>
  <c r="H14" i="4"/>
  <c r="I14" i="4"/>
  <c r="J14" i="4"/>
  <c r="K14" i="4"/>
  <c r="L14" i="4"/>
  <c r="M14" i="4"/>
  <c r="N14" i="4"/>
  <c r="O14" i="4"/>
  <c r="P14" i="4"/>
  <c r="Q14" i="4"/>
  <c r="R14" i="4"/>
  <c r="G15" i="4"/>
  <c r="H15" i="4"/>
  <c r="I15" i="4"/>
  <c r="J15" i="4"/>
  <c r="K15" i="4"/>
  <c r="L15" i="4"/>
  <c r="M15" i="4"/>
  <c r="N15" i="4"/>
  <c r="O15" i="4"/>
  <c r="P15" i="4"/>
  <c r="Q15" i="4"/>
  <c r="R15" i="4"/>
  <c r="G16" i="4"/>
  <c r="H16" i="4"/>
  <c r="I16" i="4"/>
  <c r="J16" i="4"/>
  <c r="K16" i="4"/>
  <c r="L16" i="4"/>
  <c r="M16" i="4"/>
  <c r="N16" i="4"/>
  <c r="O16" i="4"/>
  <c r="P16" i="4"/>
  <c r="Q16" i="4"/>
  <c r="R16" i="4"/>
  <c r="G17" i="4"/>
  <c r="H17" i="4"/>
  <c r="I17" i="4"/>
  <c r="J17" i="4"/>
  <c r="K17" i="4"/>
  <c r="L17" i="4"/>
  <c r="M17" i="4"/>
  <c r="N17" i="4"/>
  <c r="O17" i="4"/>
  <c r="P17" i="4"/>
  <c r="Q17" i="4"/>
  <c r="R17" i="4"/>
  <c r="G18" i="4"/>
  <c r="H18" i="4"/>
  <c r="I18" i="4"/>
  <c r="J18" i="4"/>
  <c r="K18" i="4"/>
  <c r="L18" i="4"/>
  <c r="M18" i="4"/>
  <c r="N18" i="4"/>
  <c r="O18" i="4"/>
  <c r="P18" i="4"/>
  <c r="Q18" i="4"/>
  <c r="R18" i="4"/>
  <c r="G19" i="4"/>
  <c r="H19" i="4"/>
  <c r="I19" i="4"/>
  <c r="J19" i="4"/>
  <c r="K19" i="4"/>
  <c r="L19" i="4"/>
  <c r="M19" i="4"/>
  <c r="N19" i="4"/>
  <c r="O19" i="4"/>
  <c r="P19" i="4"/>
  <c r="Q19" i="4"/>
  <c r="R19" i="4"/>
  <c r="G20" i="4"/>
  <c r="H20" i="4"/>
  <c r="I20" i="4"/>
  <c r="J20" i="4"/>
  <c r="K20" i="4"/>
  <c r="L20" i="4"/>
  <c r="M20" i="4"/>
  <c r="N20" i="4"/>
  <c r="O20" i="4"/>
  <c r="P20" i="4"/>
  <c r="Q20" i="4"/>
  <c r="R20" i="4"/>
  <c r="G21" i="4"/>
  <c r="H21" i="4"/>
  <c r="I21" i="4"/>
  <c r="J21" i="4"/>
  <c r="K21" i="4"/>
  <c r="L21" i="4"/>
  <c r="M21" i="4"/>
  <c r="N21" i="4"/>
  <c r="O21" i="4"/>
  <c r="P21" i="4"/>
  <c r="Q21" i="4"/>
  <c r="R21" i="4"/>
  <c r="G22" i="4"/>
  <c r="H22" i="4"/>
  <c r="I22" i="4"/>
  <c r="J22" i="4"/>
  <c r="K22" i="4"/>
  <c r="L22" i="4"/>
  <c r="M22" i="4"/>
  <c r="N22" i="4"/>
  <c r="O22" i="4"/>
  <c r="P22" i="4"/>
  <c r="Q22" i="4"/>
  <c r="R22" i="4"/>
  <c r="G23" i="4"/>
  <c r="H23" i="4"/>
  <c r="I23" i="4"/>
  <c r="J23" i="4"/>
  <c r="K23" i="4"/>
  <c r="L23" i="4"/>
  <c r="M23" i="4"/>
  <c r="N23" i="4"/>
  <c r="O23" i="4"/>
  <c r="P23" i="4"/>
  <c r="Q23" i="4"/>
  <c r="R23" i="4"/>
  <c r="G24" i="4"/>
  <c r="H24" i="4"/>
  <c r="I24" i="4"/>
  <c r="J24" i="4"/>
  <c r="K24" i="4"/>
  <c r="L24" i="4"/>
  <c r="M24" i="4"/>
  <c r="N24" i="4"/>
  <c r="O24" i="4"/>
  <c r="P24" i="4"/>
  <c r="Q24" i="4"/>
  <c r="R24" i="4"/>
  <c r="G25" i="4"/>
  <c r="H25" i="4"/>
  <c r="I25" i="4"/>
  <c r="J25" i="4"/>
  <c r="K25" i="4"/>
  <c r="L25" i="4"/>
  <c r="M25" i="4"/>
  <c r="N25" i="4"/>
  <c r="O25" i="4"/>
  <c r="P25" i="4"/>
  <c r="Q25" i="4"/>
  <c r="R25" i="4"/>
  <c r="G26" i="4"/>
  <c r="H26" i="4"/>
  <c r="I26" i="4"/>
  <c r="J26" i="4"/>
  <c r="K26" i="4"/>
  <c r="L26" i="4"/>
  <c r="M26" i="4"/>
  <c r="N26" i="4"/>
  <c r="O26" i="4"/>
  <c r="P26" i="4"/>
  <c r="Q26" i="4"/>
  <c r="R26" i="4"/>
  <c r="G27" i="4"/>
  <c r="H27" i="4"/>
  <c r="I27" i="4"/>
  <c r="J27" i="4"/>
  <c r="K27" i="4"/>
  <c r="L27" i="4"/>
  <c r="M27" i="4"/>
  <c r="N27" i="4"/>
  <c r="O27" i="4"/>
  <c r="P27" i="4"/>
  <c r="Q27" i="4"/>
  <c r="R27" i="4"/>
  <c r="G28" i="4"/>
  <c r="H28" i="4"/>
  <c r="I28" i="4"/>
  <c r="J28" i="4"/>
  <c r="K28" i="4"/>
  <c r="L28" i="4"/>
  <c r="M28" i="4"/>
  <c r="N28" i="4"/>
  <c r="O28" i="4"/>
  <c r="P28" i="4"/>
  <c r="Q28" i="4"/>
  <c r="R28" i="4"/>
  <c r="G29" i="4"/>
  <c r="H29" i="4"/>
  <c r="I29" i="4"/>
  <c r="J29" i="4"/>
  <c r="K29" i="4"/>
  <c r="L29" i="4"/>
  <c r="M29" i="4"/>
  <c r="N29" i="4"/>
  <c r="O29" i="4"/>
  <c r="P29" i="4"/>
  <c r="Q29" i="4"/>
  <c r="R29" i="4"/>
  <c r="G30" i="4"/>
  <c r="H30" i="4"/>
  <c r="I30" i="4"/>
  <c r="J30" i="4"/>
  <c r="K30" i="4"/>
  <c r="L30" i="4"/>
  <c r="M30" i="4"/>
  <c r="N30" i="4"/>
  <c r="O30" i="4"/>
  <c r="P30" i="4"/>
  <c r="Q30" i="4"/>
  <c r="R30" i="4"/>
  <c r="G31" i="4"/>
  <c r="H31" i="4"/>
  <c r="I31" i="4"/>
  <c r="J31" i="4"/>
  <c r="K31" i="4"/>
  <c r="L31" i="4"/>
  <c r="M31" i="4"/>
  <c r="N31" i="4"/>
  <c r="O31" i="4"/>
  <c r="P31" i="4"/>
  <c r="Q31" i="4"/>
  <c r="R31" i="4"/>
  <c r="G32" i="4"/>
  <c r="H32" i="4"/>
  <c r="I32" i="4"/>
  <c r="J32" i="4"/>
  <c r="K32" i="4"/>
  <c r="L32" i="4"/>
  <c r="M32" i="4"/>
  <c r="N32" i="4"/>
  <c r="O32" i="4"/>
  <c r="P32" i="4"/>
  <c r="Q32" i="4"/>
  <c r="R32" i="4"/>
  <c r="G33" i="4"/>
  <c r="H33" i="4"/>
  <c r="I33" i="4"/>
  <c r="J33" i="4"/>
  <c r="K33" i="4"/>
  <c r="L33" i="4"/>
  <c r="M33" i="4"/>
  <c r="N33" i="4"/>
  <c r="O33" i="4"/>
  <c r="P33" i="4"/>
  <c r="Q33" i="4"/>
  <c r="R33" i="4"/>
  <c r="G34" i="4"/>
  <c r="H34" i="4"/>
  <c r="I34" i="4"/>
  <c r="J34" i="4"/>
  <c r="K34" i="4"/>
  <c r="L34" i="4"/>
  <c r="M34" i="4"/>
  <c r="N34" i="4"/>
  <c r="O34" i="4"/>
  <c r="P34" i="4"/>
  <c r="Q34" i="4"/>
  <c r="R34" i="4"/>
  <c r="G35" i="4"/>
  <c r="H35" i="4"/>
  <c r="I35" i="4"/>
  <c r="J35" i="4"/>
  <c r="K35" i="4"/>
  <c r="L35" i="4"/>
  <c r="M35" i="4"/>
  <c r="N35" i="4"/>
  <c r="O35" i="4"/>
  <c r="P35" i="4"/>
  <c r="Q35" i="4"/>
  <c r="R35" i="4"/>
  <c r="G36" i="4"/>
  <c r="H36" i="4"/>
  <c r="I36" i="4"/>
  <c r="J36" i="4"/>
  <c r="K36" i="4"/>
  <c r="L36" i="4"/>
  <c r="M36" i="4"/>
  <c r="N36" i="4"/>
  <c r="O36" i="4"/>
  <c r="P36" i="4"/>
  <c r="Q36" i="4"/>
  <c r="R36" i="4"/>
  <c r="G37" i="4"/>
  <c r="H37" i="4"/>
  <c r="I37" i="4"/>
  <c r="J37" i="4"/>
  <c r="K37" i="4"/>
  <c r="L37" i="4"/>
  <c r="M37" i="4"/>
  <c r="N37" i="4"/>
  <c r="O37" i="4"/>
  <c r="P37" i="4"/>
  <c r="Q37" i="4"/>
  <c r="R37" i="4"/>
  <c r="G38" i="4"/>
  <c r="H38" i="4"/>
  <c r="I38" i="4"/>
  <c r="J38" i="4"/>
  <c r="K38" i="4"/>
  <c r="L38" i="4"/>
  <c r="M38" i="4"/>
  <c r="N38" i="4"/>
  <c r="O38" i="4"/>
  <c r="P38" i="4"/>
  <c r="Q38" i="4"/>
  <c r="R38" i="4"/>
  <c r="G39" i="4"/>
  <c r="H39" i="4"/>
  <c r="I39" i="4"/>
  <c r="J39" i="4"/>
  <c r="K39" i="4"/>
  <c r="L39" i="4"/>
  <c r="M39" i="4"/>
  <c r="N39" i="4"/>
  <c r="O39" i="4"/>
  <c r="P39" i="4"/>
  <c r="Q39" i="4"/>
  <c r="R39" i="4"/>
  <c r="G40" i="4"/>
  <c r="H40" i="4"/>
  <c r="I40" i="4"/>
  <c r="J40" i="4"/>
  <c r="K40" i="4"/>
  <c r="L40" i="4"/>
  <c r="M40" i="4"/>
  <c r="N40" i="4"/>
  <c r="O40" i="4"/>
  <c r="P40" i="4"/>
  <c r="Q40" i="4"/>
  <c r="R40" i="4"/>
  <c r="G41" i="4"/>
  <c r="H41" i="4"/>
  <c r="I41" i="4"/>
  <c r="J41" i="4"/>
  <c r="K41" i="4"/>
  <c r="L41" i="4"/>
  <c r="M41" i="4"/>
  <c r="N41" i="4"/>
  <c r="O41" i="4"/>
  <c r="P41" i="4"/>
  <c r="Q41" i="4"/>
  <c r="R41" i="4"/>
  <c r="G42" i="4"/>
  <c r="H42" i="4"/>
  <c r="I42" i="4"/>
  <c r="J42" i="4"/>
  <c r="K42" i="4"/>
  <c r="L42" i="4"/>
  <c r="M42" i="4"/>
  <c r="N42" i="4"/>
  <c r="O42" i="4"/>
  <c r="P42" i="4"/>
  <c r="Q42" i="4"/>
  <c r="R42" i="4"/>
  <c r="G43" i="4"/>
  <c r="H43" i="4"/>
  <c r="I43" i="4"/>
  <c r="J43" i="4"/>
  <c r="K43" i="4"/>
  <c r="L43" i="4"/>
  <c r="M43" i="4"/>
  <c r="N43" i="4"/>
  <c r="O43" i="4"/>
  <c r="P43" i="4"/>
  <c r="Q43" i="4"/>
  <c r="R43" i="4"/>
  <c r="G44" i="4"/>
  <c r="H44" i="4"/>
  <c r="I44" i="4"/>
  <c r="J44" i="4"/>
  <c r="K44" i="4"/>
  <c r="L44" i="4"/>
  <c r="M44" i="4"/>
  <c r="N44" i="4"/>
  <c r="O44" i="4"/>
  <c r="P44" i="4"/>
  <c r="Q44" i="4"/>
  <c r="R44" i="4"/>
  <c r="G45" i="4"/>
  <c r="H45" i="4"/>
  <c r="I45" i="4"/>
  <c r="J45" i="4"/>
  <c r="K45" i="4"/>
  <c r="L45" i="4"/>
  <c r="M45" i="4"/>
  <c r="N45" i="4"/>
  <c r="O45" i="4"/>
  <c r="P45" i="4"/>
  <c r="Q45" i="4"/>
  <c r="R45" i="4"/>
  <c r="G46" i="4"/>
  <c r="H46" i="4"/>
  <c r="I46" i="4"/>
  <c r="J46" i="4"/>
  <c r="K46" i="4"/>
  <c r="L46" i="4"/>
  <c r="M46" i="4"/>
  <c r="N46" i="4"/>
  <c r="O46" i="4"/>
  <c r="P46" i="4"/>
  <c r="Q46" i="4"/>
  <c r="R46" i="4"/>
  <c r="G47" i="4"/>
  <c r="H47" i="4"/>
  <c r="I47" i="4"/>
  <c r="J47" i="4"/>
  <c r="K47" i="4"/>
  <c r="L47" i="4"/>
  <c r="M47" i="4"/>
  <c r="N47" i="4"/>
  <c r="O47" i="4"/>
  <c r="P47" i="4"/>
  <c r="Q47" i="4"/>
  <c r="R47" i="4"/>
  <c r="G48" i="4"/>
  <c r="H48" i="4"/>
  <c r="I48" i="4"/>
  <c r="J48" i="4"/>
  <c r="K48" i="4"/>
  <c r="L48" i="4"/>
  <c r="M48" i="4"/>
  <c r="N48" i="4"/>
  <c r="O48" i="4"/>
  <c r="P48" i="4"/>
  <c r="Q48" i="4"/>
  <c r="R48" i="4"/>
  <c r="G49" i="4"/>
  <c r="H49" i="4"/>
  <c r="I49" i="4"/>
  <c r="J49" i="4"/>
  <c r="K49" i="4"/>
  <c r="L49" i="4"/>
  <c r="M49" i="4"/>
  <c r="N49" i="4"/>
  <c r="O49" i="4"/>
  <c r="P49" i="4"/>
  <c r="Q49" i="4"/>
  <c r="R49" i="4"/>
  <c r="G50" i="4"/>
  <c r="H50" i="4"/>
  <c r="I50" i="4"/>
  <c r="J50" i="4"/>
  <c r="K50" i="4"/>
  <c r="L50" i="4"/>
  <c r="M50" i="4"/>
  <c r="N50" i="4"/>
  <c r="O50" i="4"/>
  <c r="P50" i="4"/>
  <c r="Q50" i="4"/>
  <c r="R50" i="4"/>
  <c r="G51" i="4"/>
  <c r="H51" i="4"/>
  <c r="I51" i="4"/>
  <c r="J51" i="4"/>
  <c r="K51" i="4"/>
  <c r="L51" i="4"/>
  <c r="M51" i="4"/>
  <c r="N51" i="4"/>
  <c r="O51" i="4"/>
  <c r="P51" i="4"/>
  <c r="Q51" i="4"/>
  <c r="R51" i="4"/>
  <c r="G52" i="4"/>
  <c r="H52" i="4"/>
  <c r="I52" i="4"/>
  <c r="J52" i="4"/>
  <c r="K52" i="4"/>
  <c r="L52" i="4"/>
  <c r="M52" i="4"/>
  <c r="N52" i="4"/>
  <c r="O52" i="4"/>
  <c r="P52" i="4"/>
  <c r="Q52" i="4"/>
  <c r="R52" i="4"/>
  <c r="G53" i="4"/>
  <c r="H53" i="4"/>
  <c r="I53" i="4"/>
  <c r="J53" i="4"/>
  <c r="K53" i="4"/>
  <c r="L53" i="4"/>
  <c r="M53" i="4"/>
  <c r="N53" i="4"/>
  <c r="O53" i="4"/>
  <c r="P53" i="4"/>
  <c r="Q53" i="4"/>
  <c r="R53" i="4"/>
  <c r="G54" i="4"/>
  <c r="H54" i="4"/>
  <c r="I54" i="4"/>
  <c r="J54" i="4"/>
  <c r="K54" i="4"/>
  <c r="L54" i="4"/>
  <c r="M54" i="4"/>
  <c r="N54" i="4"/>
  <c r="O54" i="4"/>
  <c r="P54" i="4"/>
  <c r="Q54" i="4"/>
  <c r="R54" i="4"/>
  <c r="G55" i="4"/>
  <c r="H55" i="4"/>
  <c r="I55" i="4"/>
  <c r="J55" i="4"/>
  <c r="K55" i="4"/>
  <c r="L55" i="4"/>
  <c r="M55" i="4"/>
  <c r="N55" i="4"/>
  <c r="O55" i="4"/>
  <c r="P55" i="4"/>
  <c r="Q55" i="4"/>
  <c r="R55" i="4"/>
  <c r="G56" i="4"/>
  <c r="H56" i="4"/>
  <c r="I56" i="4"/>
  <c r="J56" i="4"/>
  <c r="K56" i="4"/>
  <c r="L56" i="4"/>
  <c r="M56" i="4"/>
  <c r="N56" i="4"/>
  <c r="O56" i="4"/>
  <c r="P56" i="4"/>
  <c r="Q56" i="4"/>
  <c r="R56" i="4"/>
  <c r="G57" i="4"/>
  <c r="H57" i="4"/>
  <c r="I57" i="4"/>
  <c r="J57" i="4"/>
  <c r="K57" i="4"/>
  <c r="L57" i="4"/>
  <c r="M57" i="4"/>
  <c r="N57" i="4"/>
  <c r="O57" i="4"/>
  <c r="P57" i="4"/>
  <c r="Q57" i="4"/>
  <c r="R57" i="4"/>
  <c r="G58" i="4"/>
  <c r="H58" i="4"/>
  <c r="I58" i="4"/>
  <c r="J58" i="4"/>
  <c r="K58" i="4"/>
  <c r="L58" i="4"/>
  <c r="M58" i="4"/>
  <c r="N58" i="4"/>
  <c r="O58" i="4"/>
  <c r="P58" i="4"/>
  <c r="Q58" i="4"/>
  <c r="R58" i="4"/>
  <c r="G59" i="4"/>
  <c r="H59" i="4"/>
  <c r="I59" i="4"/>
  <c r="J59" i="4"/>
  <c r="K59" i="4"/>
  <c r="L59" i="4"/>
  <c r="M59" i="4"/>
  <c r="N59" i="4"/>
  <c r="O59" i="4"/>
  <c r="P59" i="4"/>
  <c r="Q59" i="4"/>
  <c r="R59" i="4"/>
  <c r="G60" i="4"/>
  <c r="H60" i="4"/>
  <c r="I60" i="4"/>
  <c r="J60" i="4"/>
  <c r="K60" i="4"/>
  <c r="L60" i="4"/>
  <c r="M60" i="4"/>
  <c r="N60" i="4"/>
  <c r="O60" i="4"/>
  <c r="P60" i="4"/>
  <c r="Q60" i="4"/>
  <c r="R60" i="4"/>
  <c r="G61" i="4"/>
  <c r="H61" i="4"/>
  <c r="I61" i="4"/>
  <c r="J61" i="4"/>
  <c r="K61" i="4"/>
  <c r="L61" i="4"/>
  <c r="M61" i="4"/>
  <c r="N61" i="4"/>
  <c r="O61" i="4"/>
  <c r="P61" i="4"/>
  <c r="Q61" i="4"/>
  <c r="R61" i="4"/>
  <c r="G62" i="4"/>
  <c r="H62" i="4"/>
  <c r="I62" i="4"/>
  <c r="J62" i="4"/>
  <c r="K62" i="4"/>
  <c r="L62" i="4"/>
  <c r="M62" i="4"/>
  <c r="N62" i="4"/>
  <c r="O62" i="4"/>
  <c r="P62" i="4"/>
  <c r="Q62" i="4"/>
  <c r="R62" i="4"/>
  <c r="G63" i="4"/>
  <c r="H63" i="4"/>
  <c r="I63" i="4"/>
  <c r="J63" i="4"/>
  <c r="K63" i="4"/>
  <c r="L63" i="4"/>
  <c r="M63" i="4"/>
  <c r="N63" i="4"/>
  <c r="O63" i="4"/>
  <c r="P63" i="4"/>
  <c r="Q63" i="4"/>
  <c r="R63" i="4"/>
  <c r="G64" i="4"/>
  <c r="H64" i="4"/>
  <c r="I64" i="4"/>
  <c r="J64" i="4"/>
  <c r="K64" i="4"/>
  <c r="L64" i="4"/>
  <c r="M64" i="4"/>
  <c r="N64" i="4"/>
  <c r="O64" i="4"/>
  <c r="P64" i="4"/>
  <c r="Q64" i="4"/>
  <c r="R64" i="4"/>
  <c r="G65" i="4"/>
  <c r="H65" i="4"/>
  <c r="I65" i="4"/>
  <c r="J65" i="4"/>
  <c r="K65" i="4"/>
  <c r="L65" i="4"/>
  <c r="M65" i="4"/>
  <c r="N65" i="4"/>
  <c r="O65" i="4"/>
  <c r="P65" i="4"/>
  <c r="Q65" i="4"/>
  <c r="R65" i="4"/>
  <c r="G66" i="4"/>
  <c r="H66" i="4"/>
  <c r="I66" i="4"/>
  <c r="J66" i="4"/>
  <c r="K66" i="4"/>
  <c r="L66" i="4"/>
  <c r="M66" i="4"/>
  <c r="N66" i="4"/>
  <c r="O66" i="4"/>
  <c r="P66" i="4"/>
  <c r="Q66" i="4"/>
  <c r="R66" i="4"/>
  <c r="G67" i="4"/>
  <c r="H67" i="4"/>
  <c r="I67" i="4"/>
  <c r="J67" i="4"/>
  <c r="K67" i="4"/>
  <c r="L67" i="4"/>
  <c r="M67" i="4"/>
  <c r="N67" i="4"/>
  <c r="O67" i="4"/>
  <c r="P67" i="4"/>
  <c r="Q67" i="4"/>
  <c r="R67" i="4"/>
  <c r="G68" i="4"/>
  <c r="H68" i="4"/>
  <c r="I68" i="4"/>
  <c r="J68" i="4"/>
  <c r="K68" i="4"/>
  <c r="L68" i="4"/>
  <c r="M68" i="4"/>
  <c r="N68" i="4"/>
  <c r="O68" i="4"/>
  <c r="P68" i="4"/>
  <c r="Q68" i="4"/>
  <c r="R68" i="4"/>
  <c r="G69" i="4"/>
  <c r="H69" i="4"/>
  <c r="I69" i="4"/>
  <c r="J69" i="4"/>
  <c r="K69" i="4"/>
  <c r="L69" i="4"/>
  <c r="M69" i="4"/>
  <c r="N69" i="4"/>
  <c r="O69" i="4"/>
  <c r="P69" i="4"/>
  <c r="Q69" i="4"/>
  <c r="R69" i="4"/>
  <c r="G70" i="4"/>
  <c r="H70" i="4"/>
  <c r="I70" i="4"/>
  <c r="J70" i="4"/>
  <c r="K70" i="4"/>
  <c r="L70" i="4"/>
  <c r="M70" i="4"/>
  <c r="N70" i="4"/>
  <c r="O70" i="4"/>
  <c r="P70" i="4"/>
  <c r="Q70" i="4"/>
  <c r="R70" i="4"/>
  <c r="G71" i="4"/>
  <c r="H71" i="4"/>
  <c r="I71" i="4"/>
  <c r="J71" i="4"/>
  <c r="K71" i="4"/>
  <c r="L71" i="4"/>
  <c r="M71" i="4"/>
  <c r="N71" i="4"/>
  <c r="O71" i="4"/>
  <c r="P71" i="4"/>
  <c r="Q71" i="4"/>
  <c r="R71" i="4"/>
  <c r="G72" i="4"/>
  <c r="H72" i="4"/>
  <c r="I72" i="4"/>
  <c r="J72" i="4"/>
  <c r="K72" i="4"/>
  <c r="L72" i="4"/>
  <c r="M72" i="4"/>
  <c r="N72" i="4"/>
  <c r="O72" i="4"/>
  <c r="P72" i="4"/>
  <c r="Q72" i="4"/>
  <c r="R72" i="4"/>
  <c r="G73" i="4"/>
  <c r="H73" i="4"/>
  <c r="I73" i="4"/>
  <c r="J73" i="4"/>
  <c r="K73" i="4"/>
  <c r="L73" i="4"/>
  <c r="M73" i="4"/>
  <c r="N73" i="4"/>
  <c r="O73" i="4"/>
  <c r="P73" i="4"/>
  <c r="Q73" i="4"/>
  <c r="R73" i="4"/>
  <c r="G74" i="4"/>
  <c r="H74" i="4"/>
  <c r="I74" i="4"/>
  <c r="J74" i="4"/>
  <c r="K74" i="4"/>
  <c r="L74" i="4"/>
  <c r="M74" i="4"/>
  <c r="N74" i="4"/>
  <c r="O74" i="4"/>
  <c r="P74" i="4"/>
  <c r="Q74" i="4"/>
  <c r="R74" i="4"/>
  <c r="G75" i="4"/>
  <c r="H75" i="4"/>
  <c r="I75" i="4"/>
  <c r="J75" i="4"/>
  <c r="K75" i="4"/>
  <c r="L75" i="4"/>
  <c r="M75" i="4"/>
  <c r="N75" i="4"/>
  <c r="O75" i="4"/>
  <c r="P75" i="4"/>
  <c r="Q75" i="4"/>
  <c r="R75" i="4"/>
  <c r="G76" i="4"/>
  <c r="H76" i="4"/>
  <c r="I76" i="4"/>
  <c r="J76" i="4"/>
  <c r="K76" i="4"/>
  <c r="L76" i="4"/>
  <c r="M76" i="4"/>
  <c r="N76" i="4"/>
  <c r="O76" i="4"/>
  <c r="P76" i="4"/>
  <c r="Q76" i="4"/>
  <c r="R76" i="4"/>
  <c r="G77" i="4"/>
  <c r="H77" i="4"/>
  <c r="I77" i="4"/>
  <c r="J77" i="4"/>
  <c r="K77" i="4"/>
  <c r="L77" i="4"/>
  <c r="M77" i="4"/>
  <c r="N77" i="4"/>
  <c r="O77" i="4"/>
  <c r="P77" i="4"/>
  <c r="Q77" i="4"/>
  <c r="R77" i="4"/>
  <c r="G78" i="4"/>
  <c r="H78" i="4"/>
  <c r="I78" i="4"/>
  <c r="J78" i="4"/>
  <c r="K78" i="4"/>
  <c r="L78" i="4"/>
  <c r="M78" i="4"/>
  <c r="N78" i="4"/>
  <c r="O78" i="4"/>
  <c r="P78" i="4"/>
  <c r="Q78" i="4"/>
  <c r="R78" i="4"/>
  <c r="G79" i="4"/>
  <c r="H79" i="4"/>
  <c r="I79" i="4"/>
  <c r="J79" i="4"/>
  <c r="K79" i="4"/>
  <c r="L79" i="4"/>
  <c r="M79" i="4"/>
  <c r="N79" i="4"/>
  <c r="O79" i="4"/>
  <c r="P79" i="4"/>
  <c r="Q79" i="4"/>
  <c r="R79" i="4"/>
  <c r="G80" i="4"/>
  <c r="H80" i="4"/>
  <c r="I80" i="4"/>
  <c r="J80" i="4"/>
  <c r="K80" i="4"/>
  <c r="L80" i="4"/>
  <c r="M80" i="4"/>
  <c r="N80" i="4"/>
  <c r="O80" i="4"/>
  <c r="P80" i="4"/>
  <c r="Q80" i="4"/>
  <c r="R80" i="4"/>
  <c r="G81" i="4"/>
  <c r="H81" i="4"/>
  <c r="I81" i="4"/>
  <c r="J81" i="4"/>
  <c r="K81" i="4"/>
  <c r="L81" i="4"/>
  <c r="M81" i="4"/>
  <c r="N81" i="4"/>
  <c r="O81" i="4"/>
  <c r="P81" i="4"/>
  <c r="Q81" i="4"/>
  <c r="R81" i="4"/>
  <c r="G82" i="4"/>
  <c r="H82" i="4"/>
  <c r="I82" i="4"/>
  <c r="J82" i="4"/>
  <c r="K82" i="4"/>
  <c r="L82" i="4"/>
  <c r="M82" i="4"/>
  <c r="N82" i="4"/>
  <c r="O82" i="4"/>
  <c r="P82" i="4"/>
  <c r="Q82" i="4"/>
  <c r="R82" i="4"/>
  <c r="G83" i="4"/>
  <c r="H83" i="4"/>
  <c r="I83" i="4"/>
  <c r="J83" i="4"/>
  <c r="K83" i="4"/>
  <c r="L83" i="4"/>
  <c r="M83" i="4"/>
  <c r="N83" i="4"/>
  <c r="O83" i="4"/>
  <c r="P83" i="4"/>
  <c r="Q83" i="4"/>
  <c r="R83" i="4"/>
  <c r="G84" i="4"/>
  <c r="H84" i="4"/>
  <c r="I84" i="4"/>
  <c r="J84" i="4"/>
  <c r="K84" i="4"/>
  <c r="L84" i="4"/>
  <c r="M84" i="4"/>
  <c r="N84" i="4"/>
  <c r="O84" i="4"/>
  <c r="P84" i="4"/>
  <c r="Q84" i="4"/>
  <c r="R84" i="4"/>
  <c r="G85" i="4"/>
  <c r="H85" i="4"/>
  <c r="I85" i="4"/>
  <c r="J85" i="4"/>
  <c r="K85" i="4"/>
  <c r="L85" i="4"/>
  <c r="M85" i="4"/>
  <c r="N85" i="4"/>
  <c r="O85" i="4"/>
  <c r="P85" i="4"/>
  <c r="Q85" i="4"/>
  <c r="R85" i="4"/>
  <c r="G86" i="4"/>
  <c r="H86" i="4"/>
  <c r="I86" i="4"/>
  <c r="J86" i="4"/>
  <c r="K86" i="4"/>
  <c r="L86" i="4"/>
  <c r="M86" i="4"/>
  <c r="N86" i="4"/>
  <c r="O86" i="4"/>
  <c r="P86" i="4"/>
  <c r="Q86" i="4"/>
  <c r="R86" i="4"/>
  <c r="G87" i="4"/>
  <c r="H87" i="4"/>
  <c r="I87" i="4"/>
  <c r="J87" i="4"/>
  <c r="K87" i="4"/>
  <c r="L87" i="4"/>
  <c r="M87" i="4"/>
  <c r="N87" i="4"/>
  <c r="O87" i="4"/>
  <c r="P87" i="4"/>
  <c r="Q87" i="4"/>
  <c r="R87" i="4"/>
  <c r="G88" i="4"/>
  <c r="H88" i="4"/>
  <c r="I88" i="4"/>
  <c r="J88" i="4"/>
  <c r="K88" i="4"/>
  <c r="L88" i="4"/>
  <c r="M88" i="4"/>
  <c r="N88" i="4"/>
  <c r="O88" i="4"/>
  <c r="P88" i="4"/>
  <c r="Q88" i="4"/>
  <c r="R88" i="4"/>
  <c r="G89" i="4"/>
  <c r="H89" i="4"/>
  <c r="I89" i="4"/>
  <c r="J89" i="4"/>
  <c r="K89" i="4"/>
  <c r="L89" i="4"/>
  <c r="M89" i="4"/>
  <c r="N89" i="4"/>
  <c r="O89" i="4"/>
  <c r="P89" i="4"/>
  <c r="Q89" i="4"/>
  <c r="R89" i="4"/>
  <c r="G90" i="4"/>
  <c r="H90" i="4"/>
  <c r="I90" i="4"/>
  <c r="J90" i="4"/>
  <c r="K90" i="4"/>
  <c r="L90" i="4"/>
  <c r="M90" i="4"/>
  <c r="N90" i="4"/>
  <c r="O90" i="4"/>
  <c r="P90" i="4"/>
  <c r="Q90" i="4"/>
  <c r="R90" i="4"/>
  <c r="G91" i="4"/>
  <c r="H91" i="4"/>
  <c r="I91" i="4"/>
  <c r="J91" i="4"/>
  <c r="K91" i="4"/>
  <c r="L91" i="4"/>
  <c r="M91" i="4"/>
  <c r="N91" i="4"/>
  <c r="O91" i="4"/>
  <c r="P91" i="4"/>
  <c r="Q91" i="4"/>
  <c r="R91" i="4"/>
  <c r="G92" i="4"/>
  <c r="H92" i="4"/>
  <c r="I92" i="4"/>
  <c r="J92" i="4"/>
  <c r="K92" i="4"/>
  <c r="L92" i="4"/>
  <c r="M92" i="4"/>
  <c r="N92" i="4"/>
  <c r="O92" i="4"/>
  <c r="P92" i="4"/>
  <c r="Q92" i="4"/>
  <c r="R92" i="4"/>
  <c r="G93" i="4"/>
  <c r="H93" i="4"/>
  <c r="I93" i="4"/>
  <c r="J93" i="4"/>
  <c r="K93" i="4"/>
  <c r="L93" i="4"/>
  <c r="M93" i="4"/>
  <c r="N93" i="4"/>
  <c r="O93" i="4"/>
  <c r="P93" i="4"/>
  <c r="Q93" i="4"/>
  <c r="R93" i="4"/>
  <c r="G94" i="4"/>
  <c r="H94" i="4"/>
  <c r="I94" i="4"/>
  <c r="J94" i="4"/>
  <c r="K94" i="4"/>
  <c r="L94" i="4"/>
  <c r="M94" i="4"/>
  <c r="N94" i="4"/>
  <c r="O94" i="4"/>
  <c r="P94" i="4"/>
  <c r="Q94" i="4"/>
  <c r="R94" i="4"/>
  <c r="G95" i="4"/>
  <c r="H95" i="4"/>
  <c r="I95" i="4"/>
  <c r="J95" i="4"/>
  <c r="K95" i="4"/>
  <c r="L95" i="4"/>
  <c r="M95" i="4"/>
  <c r="N95" i="4"/>
  <c r="O95" i="4"/>
  <c r="P95" i="4"/>
  <c r="Q95" i="4"/>
  <c r="R95" i="4"/>
  <c r="G96" i="4"/>
  <c r="H96" i="4"/>
  <c r="I96" i="4"/>
  <c r="J96" i="4"/>
  <c r="K96" i="4"/>
  <c r="L96" i="4"/>
  <c r="M96" i="4"/>
  <c r="N96" i="4"/>
  <c r="O96" i="4"/>
  <c r="P96" i="4"/>
  <c r="Q96" i="4"/>
  <c r="R96" i="4"/>
  <c r="G97" i="4"/>
  <c r="H97" i="4"/>
  <c r="I97" i="4"/>
  <c r="J97" i="4"/>
  <c r="K97" i="4"/>
  <c r="L97" i="4"/>
  <c r="M97" i="4"/>
  <c r="N97" i="4"/>
  <c r="O97" i="4"/>
  <c r="P97" i="4"/>
  <c r="Q97" i="4"/>
  <c r="R97" i="4"/>
  <c r="G98" i="4"/>
  <c r="H98" i="4"/>
  <c r="I98" i="4"/>
  <c r="J98" i="4"/>
  <c r="K98" i="4"/>
  <c r="L98" i="4"/>
  <c r="M98" i="4"/>
  <c r="N98" i="4"/>
  <c r="O98" i="4"/>
  <c r="P98" i="4"/>
  <c r="Q98" i="4"/>
  <c r="R98" i="4"/>
  <c r="G99" i="4"/>
  <c r="H99" i="4"/>
  <c r="I99" i="4"/>
  <c r="J99" i="4"/>
  <c r="K99" i="4"/>
  <c r="L99" i="4"/>
  <c r="M99" i="4"/>
  <c r="N99" i="4"/>
  <c r="O99" i="4"/>
  <c r="P99" i="4"/>
  <c r="Q99" i="4"/>
  <c r="R99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I13" i="4"/>
  <c r="J13" i="4"/>
  <c r="K13" i="4"/>
  <c r="L13" i="4"/>
  <c r="M13" i="4"/>
  <c r="N13" i="4"/>
  <c r="O13" i="4"/>
  <c r="P13" i="4"/>
  <c r="Q13" i="4"/>
  <c r="R13" i="4"/>
  <c r="G13" i="4"/>
  <c r="W9" i="1"/>
  <c r="I9" i="1" s="1"/>
  <c r="J9" i="1" s="1"/>
  <c r="F14" i="4" s="1"/>
  <c r="W10" i="1"/>
  <c r="I10" i="1" s="1"/>
  <c r="J10" i="1" s="1"/>
  <c r="F15" i="4" s="1"/>
  <c r="W11" i="1"/>
  <c r="I11" i="1" s="1"/>
  <c r="I12" i="1"/>
  <c r="J12" i="1" s="1"/>
  <c r="F17" i="4" s="1"/>
  <c r="W13" i="1"/>
  <c r="I13" i="1" s="1"/>
  <c r="J13" i="1" s="1"/>
  <c r="F18" i="4" s="1"/>
  <c r="W14" i="1"/>
  <c r="I14" i="1" s="1"/>
  <c r="J14" i="1" s="1"/>
  <c r="F19" i="4" s="1"/>
  <c r="W15" i="1"/>
  <c r="I15" i="1" s="1"/>
  <c r="J15" i="1" s="1"/>
  <c r="F20" i="4" s="1"/>
  <c r="W16" i="1"/>
  <c r="I16" i="1" s="1"/>
  <c r="J16" i="1" s="1"/>
  <c r="F21" i="4" s="1"/>
  <c r="W17" i="1"/>
  <c r="I17" i="1" s="1"/>
  <c r="J17" i="1" s="1"/>
  <c r="F22" i="4" s="1"/>
  <c r="W18" i="1"/>
  <c r="I18" i="1" s="1"/>
  <c r="J18" i="1" s="1"/>
  <c r="F23" i="4" s="1"/>
  <c r="W19" i="1"/>
  <c r="I19" i="1" s="1"/>
  <c r="W20" i="1"/>
  <c r="I20" i="1" s="1"/>
  <c r="J20" i="1" s="1"/>
  <c r="F25" i="4" s="1"/>
  <c r="W21" i="1"/>
  <c r="I21" i="1" s="1"/>
  <c r="J21" i="1" s="1"/>
  <c r="F26" i="4" s="1"/>
  <c r="W22" i="1"/>
  <c r="I22" i="1" s="1"/>
  <c r="J22" i="1" s="1"/>
  <c r="F27" i="4" s="1"/>
  <c r="W23" i="1"/>
  <c r="I23" i="1" s="1"/>
  <c r="W24" i="1"/>
  <c r="I24" i="1" s="1"/>
  <c r="J24" i="1" s="1"/>
  <c r="F29" i="4" s="1"/>
  <c r="W25" i="1"/>
  <c r="I25" i="1" s="1"/>
  <c r="W26" i="1"/>
  <c r="I26" i="1" s="1"/>
  <c r="J26" i="1" s="1"/>
  <c r="F31" i="4" s="1"/>
  <c r="W27" i="1"/>
  <c r="I27" i="1" s="1"/>
  <c r="J27" i="1" s="1"/>
  <c r="F32" i="4" s="1"/>
  <c r="W28" i="1"/>
  <c r="I28" i="1" s="1"/>
  <c r="J28" i="1" s="1"/>
  <c r="F33" i="4" s="1"/>
  <c r="W29" i="1"/>
  <c r="I29" i="1" s="1"/>
  <c r="W30" i="1"/>
  <c r="I30" i="1" s="1"/>
  <c r="J30" i="1" s="1"/>
  <c r="F35" i="4" s="1"/>
  <c r="W31" i="1"/>
  <c r="I31" i="1" s="1"/>
  <c r="J31" i="1" s="1"/>
  <c r="F36" i="4" s="1"/>
  <c r="W32" i="1"/>
  <c r="I32" i="1" s="1"/>
  <c r="J32" i="1" s="1"/>
  <c r="F37" i="4" s="1"/>
  <c r="W33" i="1"/>
  <c r="I33" i="1" s="1"/>
  <c r="J33" i="1" s="1"/>
  <c r="F38" i="4" s="1"/>
  <c r="W34" i="1"/>
  <c r="I34" i="1" s="1"/>
  <c r="J34" i="1" s="1"/>
  <c r="F39" i="4" s="1"/>
  <c r="W35" i="1"/>
  <c r="I35" i="1" s="1"/>
  <c r="W36" i="1"/>
  <c r="I36" i="1" s="1"/>
  <c r="J36" i="1" s="1"/>
  <c r="F41" i="4" s="1"/>
  <c r="W37" i="1"/>
  <c r="I37" i="1" s="1"/>
  <c r="W38" i="1"/>
  <c r="I38" i="1" s="1"/>
  <c r="J38" i="1" s="1"/>
  <c r="F43" i="4" s="1"/>
  <c r="W39" i="1"/>
  <c r="I39" i="1" s="1"/>
  <c r="J39" i="1" s="1"/>
  <c r="F44" i="4" s="1"/>
  <c r="W40" i="1"/>
  <c r="I40" i="1" s="1"/>
  <c r="J40" i="1" s="1"/>
  <c r="F45" i="4" s="1"/>
  <c r="W41" i="1"/>
  <c r="I41" i="1" s="1"/>
  <c r="W42" i="1"/>
  <c r="I42" i="1" s="1"/>
  <c r="J42" i="1" s="1"/>
  <c r="F47" i="4" s="1"/>
  <c r="W43" i="1"/>
  <c r="I43" i="1" s="1"/>
  <c r="J43" i="1" s="1"/>
  <c r="F48" i="4" s="1"/>
  <c r="W44" i="1"/>
  <c r="I44" i="1" s="1"/>
  <c r="J44" i="1" s="1"/>
  <c r="F49" i="4" s="1"/>
  <c r="W45" i="1"/>
  <c r="I45" i="1" s="1"/>
  <c r="J45" i="1" s="1"/>
  <c r="F50" i="4" s="1"/>
  <c r="W46" i="1"/>
  <c r="I46" i="1" s="1"/>
  <c r="J46" i="1" s="1"/>
  <c r="F51" i="4" s="1"/>
  <c r="W47" i="1"/>
  <c r="I47" i="1" s="1"/>
  <c r="W48" i="1"/>
  <c r="I48" i="1" s="1"/>
  <c r="J48" i="1" s="1"/>
  <c r="F53" i="4" s="1"/>
  <c r="W49" i="1"/>
  <c r="I49" i="1" s="1"/>
  <c r="W50" i="1"/>
  <c r="I50" i="1" s="1"/>
  <c r="J50" i="1" s="1"/>
  <c r="F55" i="4" s="1"/>
  <c r="W51" i="1"/>
  <c r="I51" i="1" s="1"/>
  <c r="J51" i="1" s="1"/>
  <c r="F56" i="4" s="1"/>
  <c r="W52" i="1"/>
  <c r="I52" i="1" s="1"/>
  <c r="J52" i="1" s="1"/>
  <c r="F57" i="4" s="1"/>
  <c r="W53" i="1"/>
  <c r="I53" i="1" s="1"/>
  <c r="W54" i="1"/>
  <c r="I54" i="1" s="1"/>
  <c r="J54" i="1" s="1"/>
  <c r="F59" i="4" s="1"/>
  <c r="W55" i="1"/>
  <c r="I55" i="1" s="1"/>
  <c r="J55" i="1" s="1"/>
  <c r="F60" i="4" s="1"/>
  <c r="W56" i="1"/>
  <c r="I56" i="1" s="1"/>
  <c r="J56" i="1" s="1"/>
  <c r="F61" i="4" s="1"/>
  <c r="W57" i="1"/>
  <c r="I57" i="1" s="1"/>
  <c r="J57" i="1" s="1"/>
  <c r="F62" i="4" s="1"/>
  <c r="W58" i="1"/>
  <c r="I58" i="1" s="1"/>
  <c r="J58" i="1" s="1"/>
  <c r="F63" i="4" s="1"/>
  <c r="W59" i="1"/>
  <c r="I59" i="1" s="1"/>
  <c r="J59" i="1" s="1"/>
  <c r="F64" i="4" s="1"/>
  <c r="W60" i="1"/>
  <c r="I60" i="1" s="1"/>
  <c r="J60" i="1" s="1"/>
  <c r="F65" i="4" s="1"/>
  <c r="W61" i="1"/>
  <c r="I61" i="1" s="1"/>
  <c r="W62" i="1"/>
  <c r="I62" i="1" s="1"/>
  <c r="J62" i="1" s="1"/>
  <c r="F67" i="4" s="1"/>
  <c r="W63" i="1"/>
  <c r="I63" i="1" s="1"/>
  <c r="J63" i="1" s="1"/>
  <c r="F68" i="4" s="1"/>
  <c r="W64" i="1"/>
  <c r="I64" i="1" s="1"/>
  <c r="J64" i="1" s="1"/>
  <c r="F69" i="4" s="1"/>
  <c r="W65" i="1"/>
  <c r="I65" i="1" s="1"/>
  <c r="J65" i="1" s="1"/>
  <c r="F70" i="4" s="1"/>
  <c r="W66" i="1"/>
  <c r="I66" i="1" s="1"/>
  <c r="J66" i="1" s="1"/>
  <c r="F71" i="4" s="1"/>
  <c r="W67" i="1"/>
  <c r="I67" i="1" s="1"/>
  <c r="J67" i="1" s="1"/>
  <c r="F72" i="4" s="1"/>
  <c r="W68" i="1"/>
  <c r="I68" i="1" s="1"/>
  <c r="J68" i="1" s="1"/>
  <c r="F73" i="4" s="1"/>
  <c r="W69" i="1"/>
  <c r="I69" i="1" s="1"/>
  <c r="J69" i="1" s="1"/>
  <c r="F74" i="4" s="1"/>
  <c r="W70" i="1"/>
  <c r="I70" i="1" s="1"/>
  <c r="J70" i="1" s="1"/>
  <c r="F75" i="4" s="1"/>
  <c r="W71" i="1"/>
  <c r="I71" i="1" s="1"/>
  <c r="W72" i="1"/>
  <c r="I72" i="1" s="1"/>
  <c r="J72" i="1" s="1"/>
  <c r="F77" i="4" s="1"/>
  <c r="W73" i="1"/>
  <c r="I73" i="1" s="1"/>
  <c r="W74" i="1"/>
  <c r="I74" i="1" s="1"/>
  <c r="J74" i="1" s="1"/>
  <c r="F79" i="4" s="1"/>
  <c r="W75" i="1"/>
  <c r="I75" i="1" s="1"/>
  <c r="J75" i="1" s="1"/>
  <c r="F80" i="4" s="1"/>
  <c r="W76" i="1"/>
  <c r="W77" i="1"/>
  <c r="I77" i="1" s="1"/>
  <c r="W78" i="1"/>
  <c r="I78" i="1" s="1"/>
  <c r="J78" i="1" s="1"/>
  <c r="F83" i="4" s="1"/>
  <c r="W79" i="1"/>
  <c r="I79" i="1" s="1"/>
  <c r="J79" i="1" s="1"/>
  <c r="F84" i="4" s="1"/>
  <c r="W80" i="1"/>
  <c r="I80" i="1" s="1"/>
  <c r="J80" i="1" s="1"/>
  <c r="F85" i="4" s="1"/>
  <c r="W81" i="1"/>
  <c r="I81" i="1" s="1"/>
  <c r="J81" i="1" s="1"/>
  <c r="F86" i="4" s="1"/>
  <c r="W82" i="1"/>
  <c r="I82" i="1" s="1"/>
  <c r="J82" i="1" s="1"/>
  <c r="F87" i="4" s="1"/>
  <c r="W83" i="1"/>
  <c r="W84" i="1"/>
  <c r="I84" i="1" s="1"/>
  <c r="J84" i="1" s="1"/>
  <c r="F89" i="4" s="1"/>
  <c r="W85" i="1"/>
  <c r="I85" i="1" s="1"/>
  <c r="W86" i="1"/>
  <c r="I86" i="1" s="1"/>
  <c r="J86" i="1" s="1"/>
  <c r="F91" i="4" s="1"/>
  <c r="W87" i="1"/>
  <c r="I87" i="1" s="1"/>
  <c r="J87" i="1" s="1"/>
  <c r="F92" i="4" s="1"/>
  <c r="W88" i="1"/>
  <c r="I88" i="1" s="1"/>
  <c r="J88" i="1" s="1"/>
  <c r="F93" i="4" s="1"/>
  <c r="W89" i="1"/>
  <c r="I89" i="1" s="1"/>
  <c r="W90" i="1"/>
  <c r="I90" i="1" s="1"/>
  <c r="J90" i="1" s="1"/>
  <c r="F95" i="4" s="1"/>
  <c r="W91" i="1"/>
  <c r="I91" i="1" s="1"/>
  <c r="W92" i="1"/>
  <c r="I92" i="1" s="1"/>
  <c r="J92" i="1" s="1"/>
  <c r="F97" i="4" s="1"/>
  <c r="W93" i="1"/>
  <c r="I93" i="1" s="1"/>
  <c r="J93" i="1" s="1"/>
  <c r="F98" i="4" s="1"/>
  <c r="W94" i="1"/>
  <c r="I94" i="1" s="1"/>
  <c r="J94" i="1" s="1"/>
  <c r="F99" i="4" s="1"/>
  <c r="W95" i="1"/>
  <c r="I95" i="1" s="1"/>
  <c r="W96" i="1"/>
  <c r="I96" i="1" s="1"/>
  <c r="J96" i="1" s="1"/>
  <c r="F101" i="4" s="1"/>
  <c r="W97" i="1"/>
  <c r="I97" i="1" s="1"/>
  <c r="W98" i="1"/>
  <c r="I98" i="1" s="1"/>
  <c r="J98" i="1" s="1"/>
  <c r="F103" i="4" s="1"/>
  <c r="W99" i="1"/>
  <c r="I99" i="1" s="1"/>
  <c r="J99" i="1" s="1"/>
  <c r="F104" i="4" s="1"/>
  <c r="W100" i="1"/>
  <c r="I100" i="1" s="1"/>
  <c r="J100" i="1" s="1"/>
  <c r="F105" i="4" s="1"/>
  <c r="W101" i="1"/>
  <c r="I101" i="1" s="1"/>
  <c r="J101" i="1" s="1"/>
  <c r="F106" i="4" s="1"/>
  <c r="W102" i="1"/>
  <c r="I102" i="1" s="1"/>
  <c r="J102" i="1" s="1"/>
  <c r="F107" i="4" s="1"/>
  <c r="W103" i="1"/>
  <c r="I103" i="1" s="1"/>
  <c r="W104" i="1"/>
  <c r="I104" i="1" s="1"/>
  <c r="J104" i="1" s="1"/>
  <c r="F109" i="4" s="1"/>
  <c r="W105" i="1"/>
  <c r="I105" i="1" s="1"/>
  <c r="J105" i="1" s="1"/>
  <c r="F110" i="4" s="1"/>
  <c r="W106" i="1"/>
  <c r="I106" i="1" s="1"/>
  <c r="W107" i="1"/>
  <c r="I107" i="1" s="1"/>
  <c r="H9" i="1"/>
  <c r="D14" i="4" s="1"/>
  <c r="H10" i="1"/>
  <c r="D15" i="4" s="1"/>
  <c r="H11" i="1"/>
  <c r="D16" i="4" s="1"/>
  <c r="H12" i="1"/>
  <c r="D17" i="4" s="1"/>
  <c r="H13" i="1"/>
  <c r="D18" i="4" s="1"/>
  <c r="H14" i="1"/>
  <c r="D19" i="4" s="1"/>
  <c r="H15" i="1"/>
  <c r="D20" i="4" s="1"/>
  <c r="H16" i="1"/>
  <c r="D21" i="4" s="1"/>
  <c r="H17" i="1"/>
  <c r="D22" i="4" s="1"/>
  <c r="H18" i="1"/>
  <c r="D23" i="4" s="1"/>
  <c r="H19" i="1"/>
  <c r="D24" i="4" s="1"/>
  <c r="H20" i="1"/>
  <c r="D25" i="4" s="1"/>
  <c r="H21" i="1"/>
  <c r="D26" i="4" s="1"/>
  <c r="H22" i="1"/>
  <c r="D27" i="4" s="1"/>
  <c r="H23" i="1"/>
  <c r="D28" i="4" s="1"/>
  <c r="H24" i="1"/>
  <c r="D29" i="4" s="1"/>
  <c r="H25" i="1"/>
  <c r="D30" i="4" s="1"/>
  <c r="H26" i="1"/>
  <c r="D31" i="4" s="1"/>
  <c r="H27" i="1"/>
  <c r="D32" i="4" s="1"/>
  <c r="H28" i="1"/>
  <c r="D33" i="4" s="1"/>
  <c r="H29" i="1"/>
  <c r="D34" i="4" s="1"/>
  <c r="H30" i="1"/>
  <c r="D35" i="4" s="1"/>
  <c r="H31" i="1"/>
  <c r="D36" i="4" s="1"/>
  <c r="H32" i="1"/>
  <c r="D37" i="4" s="1"/>
  <c r="H33" i="1"/>
  <c r="D38" i="4" s="1"/>
  <c r="H34" i="1"/>
  <c r="D39" i="4" s="1"/>
  <c r="H35" i="1"/>
  <c r="D40" i="4" s="1"/>
  <c r="H36" i="1"/>
  <c r="D41" i="4" s="1"/>
  <c r="H37" i="1"/>
  <c r="D42" i="4" s="1"/>
  <c r="H38" i="1"/>
  <c r="D43" i="4" s="1"/>
  <c r="H39" i="1"/>
  <c r="D44" i="4" s="1"/>
  <c r="H40" i="1"/>
  <c r="D45" i="4" s="1"/>
  <c r="H41" i="1"/>
  <c r="D46" i="4" s="1"/>
  <c r="H42" i="1"/>
  <c r="D47" i="4" s="1"/>
  <c r="H43" i="1"/>
  <c r="D48" i="4" s="1"/>
  <c r="H44" i="1"/>
  <c r="D49" i="4" s="1"/>
  <c r="H45" i="1"/>
  <c r="D50" i="4" s="1"/>
  <c r="H46" i="1"/>
  <c r="D51" i="4" s="1"/>
  <c r="H47" i="1"/>
  <c r="D52" i="4" s="1"/>
  <c r="H48" i="1"/>
  <c r="D53" i="4" s="1"/>
  <c r="H49" i="1"/>
  <c r="D54" i="4" s="1"/>
  <c r="H50" i="1"/>
  <c r="D55" i="4" s="1"/>
  <c r="H51" i="1"/>
  <c r="D56" i="4" s="1"/>
  <c r="H52" i="1"/>
  <c r="D57" i="4" s="1"/>
  <c r="H53" i="1"/>
  <c r="D58" i="4" s="1"/>
  <c r="H54" i="1"/>
  <c r="D59" i="4" s="1"/>
  <c r="H55" i="1"/>
  <c r="D60" i="4" s="1"/>
  <c r="H56" i="1"/>
  <c r="D61" i="4" s="1"/>
  <c r="H57" i="1"/>
  <c r="D62" i="4" s="1"/>
  <c r="H58" i="1"/>
  <c r="D63" i="4" s="1"/>
  <c r="H59" i="1"/>
  <c r="D64" i="4" s="1"/>
  <c r="H60" i="1"/>
  <c r="D65" i="4" s="1"/>
  <c r="H61" i="1"/>
  <c r="D66" i="4" s="1"/>
  <c r="H62" i="1"/>
  <c r="D67" i="4" s="1"/>
  <c r="H63" i="1"/>
  <c r="D68" i="4" s="1"/>
  <c r="H64" i="1"/>
  <c r="D69" i="4" s="1"/>
  <c r="H65" i="1"/>
  <c r="D70" i="4" s="1"/>
  <c r="H66" i="1"/>
  <c r="D71" i="4" s="1"/>
  <c r="H67" i="1"/>
  <c r="D72" i="4" s="1"/>
  <c r="H68" i="1"/>
  <c r="D73" i="4" s="1"/>
  <c r="H69" i="1"/>
  <c r="D74" i="4" s="1"/>
  <c r="H70" i="1"/>
  <c r="D75" i="4" s="1"/>
  <c r="H71" i="1"/>
  <c r="D76" i="4" s="1"/>
  <c r="H72" i="1"/>
  <c r="D77" i="4" s="1"/>
  <c r="H73" i="1"/>
  <c r="D78" i="4" s="1"/>
  <c r="H74" i="1"/>
  <c r="D79" i="4" s="1"/>
  <c r="H75" i="1"/>
  <c r="D80" i="4" s="1"/>
  <c r="H76" i="1"/>
  <c r="D81" i="4" s="1"/>
  <c r="H77" i="1"/>
  <c r="D82" i="4" s="1"/>
  <c r="H78" i="1"/>
  <c r="D83" i="4" s="1"/>
  <c r="H79" i="1"/>
  <c r="D84" i="4" s="1"/>
  <c r="H80" i="1"/>
  <c r="D85" i="4" s="1"/>
  <c r="H81" i="1"/>
  <c r="D86" i="4" s="1"/>
  <c r="H82" i="1"/>
  <c r="D87" i="4" s="1"/>
  <c r="H83" i="1"/>
  <c r="D88" i="4" s="1"/>
  <c r="H84" i="1"/>
  <c r="D89" i="4" s="1"/>
  <c r="H85" i="1"/>
  <c r="D90" i="4" s="1"/>
  <c r="H86" i="1"/>
  <c r="D91" i="4" s="1"/>
  <c r="H87" i="1"/>
  <c r="D92" i="4" s="1"/>
  <c r="H88" i="1"/>
  <c r="D93" i="4" s="1"/>
  <c r="H89" i="1"/>
  <c r="D94" i="4" s="1"/>
  <c r="H90" i="1"/>
  <c r="D95" i="4" s="1"/>
  <c r="H91" i="1"/>
  <c r="D96" i="4" s="1"/>
  <c r="H92" i="1"/>
  <c r="D97" i="4" s="1"/>
  <c r="H93" i="1"/>
  <c r="D98" i="4" s="1"/>
  <c r="H94" i="1"/>
  <c r="D99" i="4" s="1"/>
  <c r="H95" i="1"/>
  <c r="D100" i="4" s="1"/>
  <c r="H96" i="1"/>
  <c r="D101" i="4" s="1"/>
  <c r="H97" i="1"/>
  <c r="D102" i="4" s="1"/>
  <c r="H98" i="1"/>
  <c r="D103" i="4" s="1"/>
  <c r="H99" i="1"/>
  <c r="D104" i="4" s="1"/>
  <c r="H100" i="1"/>
  <c r="D105" i="4" s="1"/>
  <c r="H101" i="1"/>
  <c r="D106" i="4" s="1"/>
  <c r="H102" i="1"/>
  <c r="D107" i="4" s="1"/>
  <c r="H103" i="1"/>
  <c r="D108" i="4" s="1"/>
  <c r="H104" i="1"/>
  <c r="D109" i="4" s="1"/>
  <c r="H105" i="1"/>
  <c r="D110" i="4" s="1"/>
  <c r="H106" i="1"/>
  <c r="D111" i="4" s="1"/>
  <c r="H107" i="1"/>
  <c r="D112" i="4" s="1"/>
  <c r="I76" i="1"/>
  <c r="J76" i="1" s="1"/>
  <c r="F81" i="4" s="1"/>
  <c r="I83" i="1"/>
  <c r="J83" i="1" s="1"/>
  <c r="F88" i="4" s="1"/>
  <c r="B9" i="1"/>
  <c r="D9" i="1" s="1"/>
  <c r="C9" i="1"/>
  <c r="B14" i="4" s="1"/>
  <c r="B10" i="1"/>
  <c r="D10" i="1" s="1"/>
  <c r="C10" i="1"/>
  <c r="B15" i="4" s="1"/>
  <c r="B11" i="1"/>
  <c r="D11" i="1" s="1"/>
  <c r="C11" i="1"/>
  <c r="B16" i="4" s="1"/>
  <c r="B12" i="1"/>
  <c r="D12" i="1" s="1"/>
  <c r="C12" i="1"/>
  <c r="B17" i="4" s="1"/>
  <c r="B13" i="1"/>
  <c r="D13" i="1" s="1"/>
  <c r="C18" i="4" s="1"/>
  <c r="C13" i="1"/>
  <c r="B18" i="4" s="1"/>
  <c r="B14" i="1"/>
  <c r="C14" i="1"/>
  <c r="B19" i="4" s="1"/>
  <c r="B15" i="1"/>
  <c r="C15" i="1"/>
  <c r="B20" i="4" s="1"/>
  <c r="B16" i="1"/>
  <c r="C16" i="1"/>
  <c r="B21" i="4" s="1"/>
  <c r="B17" i="1"/>
  <c r="C17" i="1"/>
  <c r="B22" i="4" s="1"/>
  <c r="B18" i="1"/>
  <c r="C18" i="1"/>
  <c r="B23" i="4" s="1"/>
  <c r="B19" i="1"/>
  <c r="D19" i="1" s="1"/>
  <c r="C24" i="4" s="1"/>
  <c r="C19" i="1"/>
  <c r="B24" i="4" s="1"/>
  <c r="B20" i="1"/>
  <c r="C20" i="1"/>
  <c r="B25" i="4" s="1"/>
  <c r="B21" i="1"/>
  <c r="D21" i="1" s="1"/>
  <c r="C26" i="4" s="1"/>
  <c r="C21" i="1"/>
  <c r="B26" i="4" s="1"/>
  <c r="B22" i="1"/>
  <c r="D22" i="1" s="1"/>
  <c r="C27" i="4" s="1"/>
  <c r="C22" i="1"/>
  <c r="B27" i="4" s="1"/>
  <c r="B23" i="1"/>
  <c r="D23" i="1" s="1"/>
  <c r="C28" i="4" s="1"/>
  <c r="C23" i="1"/>
  <c r="B28" i="4" s="1"/>
  <c r="B24" i="1"/>
  <c r="D24" i="1" s="1"/>
  <c r="C29" i="4" s="1"/>
  <c r="C24" i="1"/>
  <c r="B29" i="4" s="1"/>
  <c r="B25" i="1"/>
  <c r="D25" i="1" s="1"/>
  <c r="C30" i="4" s="1"/>
  <c r="C25" i="1"/>
  <c r="B30" i="4" s="1"/>
  <c r="B26" i="1"/>
  <c r="D26" i="1" s="1"/>
  <c r="C31" i="4" s="1"/>
  <c r="C26" i="1"/>
  <c r="B31" i="4" s="1"/>
  <c r="B27" i="1"/>
  <c r="D27" i="1" s="1"/>
  <c r="C32" i="4" s="1"/>
  <c r="C27" i="1"/>
  <c r="B32" i="4" s="1"/>
  <c r="B28" i="1"/>
  <c r="C28" i="1"/>
  <c r="B33" i="4" s="1"/>
  <c r="B29" i="1"/>
  <c r="C29" i="1"/>
  <c r="B34" i="4" s="1"/>
  <c r="B30" i="1"/>
  <c r="D30" i="1" s="1"/>
  <c r="C30" i="1"/>
  <c r="B35" i="4" s="1"/>
  <c r="B31" i="1"/>
  <c r="D31" i="1" s="1"/>
  <c r="C36" i="4" s="1"/>
  <c r="C31" i="1"/>
  <c r="B36" i="4" s="1"/>
  <c r="B32" i="1"/>
  <c r="C32" i="1"/>
  <c r="B37" i="4" s="1"/>
  <c r="B33" i="1"/>
  <c r="D33" i="1" s="1"/>
  <c r="C38" i="4" s="1"/>
  <c r="C33" i="1"/>
  <c r="B38" i="4" s="1"/>
  <c r="B34" i="1"/>
  <c r="D34" i="1" s="1"/>
  <c r="C39" i="4" s="1"/>
  <c r="C34" i="1"/>
  <c r="B39" i="4" s="1"/>
  <c r="B35" i="1"/>
  <c r="D35" i="1" s="1"/>
  <c r="C40" i="4" s="1"/>
  <c r="C35" i="1"/>
  <c r="B40" i="4" s="1"/>
  <c r="B36" i="1"/>
  <c r="D36" i="1" s="1"/>
  <c r="C41" i="4" s="1"/>
  <c r="C36" i="1"/>
  <c r="B41" i="4" s="1"/>
  <c r="B37" i="1"/>
  <c r="C37" i="1"/>
  <c r="B42" i="4" s="1"/>
  <c r="B38" i="1"/>
  <c r="D38" i="1" s="1"/>
  <c r="C43" i="4" s="1"/>
  <c r="C38" i="1"/>
  <c r="B43" i="4" s="1"/>
  <c r="B39" i="1"/>
  <c r="E39" i="1" s="1"/>
  <c r="C39" i="1"/>
  <c r="B44" i="4" s="1"/>
  <c r="B40" i="1"/>
  <c r="E40" i="1" s="1"/>
  <c r="C40" i="1"/>
  <c r="B45" i="4" s="1"/>
  <c r="B41" i="1"/>
  <c r="E41" i="1" s="1"/>
  <c r="C41" i="1"/>
  <c r="B46" i="4" s="1"/>
  <c r="B42" i="1"/>
  <c r="D42" i="1" s="1"/>
  <c r="C47" i="4" s="1"/>
  <c r="C42" i="1"/>
  <c r="B47" i="4" s="1"/>
  <c r="B43" i="1"/>
  <c r="D43" i="1" s="1"/>
  <c r="C48" i="4" s="1"/>
  <c r="C43" i="1"/>
  <c r="B48" i="4" s="1"/>
  <c r="B44" i="1"/>
  <c r="D44" i="1" s="1"/>
  <c r="C49" i="4" s="1"/>
  <c r="C44" i="1"/>
  <c r="B49" i="4" s="1"/>
  <c r="B45" i="1"/>
  <c r="D45" i="1" s="1"/>
  <c r="C50" i="4" s="1"/>
  <c r="C45" i="1"/>
  <c r="B50" i="4" s="1"/>
  <c r="B46" i="1"/>
  <c r="D46" i="1" s="1"/>
  <c r="C51" i="4" s="1"/>
  <c r="C46" i="1"/>
  <c r="B51" i="4" s="1"/>
  <c r="B47" i="1"/>
  <c r="D47" i="1" s="1"/>
  <c r="C52" i="4" s="1"/>
  <c r="C47" i="1"/>
  <c r="B52" i="4" s="1"/>
  <c r="B48" i="1"/>
  <c r="D48" i="1" s="1"/>
  <c r="C53" i="4" s="1"/>
  <c r="C48" i="1"/>
  <c r="B53" i="4" s="1"/>
  <c r="B49" i="1"/>
  <c r="E49" i="1" s="1"/>
  <c r="C49" i="1"/>
  <c r="B54" i="4" s="1"/>
  <c r="B50" i="1"/>
  <c r="E50" i="1" s="1"/>
  <c r="C50" i="1"/>
  <c r="B55" i="4" s="1"/>
  <c r="B51" i="1"/>
  <c r="E51" i="1" s="1"/>
  <c r="C51" i="1"/>
  <c r="B56" i="4" s="1"/>
  <c r="B52" i="1"/>
  <c r="E52" i="1" s="1"/>
  <c r="C52" i="1"/>
  <c r="B57" i="4" s="1"/>
  <c r="B53" i="1"/>
  <c r="E53" i="1" s="1"/>
  <c r="C53" i="1"/>
  <c r="B58" i="4" s="1"/>
  <c r="B54" i="1"/>
  <c r="E54" i="1" s="1"/>
  <c r="C54" i="1"/>
  <c r="B59" i="4" s="1"/>
  <c r="B55" i="1"/>
  <c r="D55" i="1" s="1"/>
  <c r="C60" i="4" s="1"/>
  <c r="C55" i="1"/>
  <c r="B60" i="4" s="1"/>
  <c r="B56" i="1"/>
  <c r="D56" i="1" s="1"/>
  <c r="C61" i="4" s="1"/>
  <c r="C56" i="1"/>
  <c r="B61" i="4" s="1"/>
  <c r="B57" i="1"/>
  <c r="D57" i="1" s="1"/>
  <c r="C62" i="4" s="1"/>
  <c r="C57" i="1"/>
  <c r="B62" i="4" s="1"/>
  <c r="B58" i="1"/>
  <c r="D58" i="1" s="1"/>
  <c r="C63" i="4" s="1"/>
  <c r="C58" i="1"/>
  <c r="B63" i="4" s="1"/>
  <c r="B59" i="1"/>
  <c r="D59" i="1" s="1"/>
  <c r="C64" i="4" s="1"/>
  <c r="C59" i="1"/>
  <c r="B64" i="4" s="1"/>
  <c r="B60" i="1"/>
  <c r="D60" i="1" s="1"/>
  <c r="C65" i="4" s="1"/>
  <c r="C60" i="1"/>
  <c r="B65" i="4" s="1"/>
  <c r="B61" i="1"/>
  <c r="E61" i="1" s="1"/>
  <c r="C61" i="1"/>
  <c r="B66" i="4" s="1"/>
  <c r="B62" i="1"/>
  <c r="D62" i="1" s="1"/>
  <c r="C67" i="4" s="1"/>
  <c r="C62" i="1"/>
  <c r="B67" i="4" s="1"/>
  <c r="B63" i="1"/>
  <c r="E63" i="1" s="1"/>
  <c r="C63" i="1"/>
  <c r="B68" i="4" s="1"/>
  <c r="B64" i="1"/>
  <c r="E64" i="1" s="1"/>
  <c r="C64" i="1"/>
  <c r="B69" i="4" s="1"/>
  <c r="B65" i="1"/>
  <c r="D65" i="1" s="1"/>
  <c r="C70" i="4" s="1"/>
  <c r="C65" i="1"/>
  <c r="B70" i="4" s="1"/>
  <c r="B66" i="1"/>
  <c r="D66" i="1" s="1"/>
  <c r="C71" i="4" s="1"/>
  <c r="C66" i="1"/>
  <c r="B71" i="4" s="1"/>
  <c r="B67" i="1"/>
  <c r="D67" i="1" s="1"/>
  <c r="C72" i="4" s="1"/>
  <c r="C67" i="1"/>
  <c r="B72" i="4" s="1"/>
  <c r="B68" i="1"/>
  <c r="E68" i="1" s="1"/>
  <c r="C68" i="1"/>
  <c r="B73" i="4" s="1"/>
  <c r="B69" i="1"/>
  <c r="D69" i="1" s="1"/>
  <c r="C74" i="4" s="1"/>
  <c r="C69" i="1"/>
  <c r="B74" i="4" s="1"/>
  <c r="B70" i="1"/>
  <c r="D70" i="1" s="1"/>
  <c r="C75" i="4" s="1"/>
  <c r="C70" i="1"/>
  <c r="B75" i="4" s="1"/>
  <c r="B71" i="1"/>
  <c r="D71" i="1" s="1"/>
  <c r="C76" i="4" s="1"/>
  <c r="C71" i="1"/>
  <c r="B76" i="4" s="1"/>
  <c r="B72" i="1"/>
  <c r="D72" i="1" s="1"/>
  <c r="C77" i="4" s="1"/>
  <c r="C72" i="1"/>
  <c r="B77" i="4" s="1"/>
  <c r="B73" i="1"/>
  <c r="E73" i="1" s="1"/>
  <c r="C73" i="1"/>
  <c r="B78" i="4" s="1"/>
  <c r="B74" i="1"/>
  <c r="E74" i="1" s="1"/>
  <c r="C74" i="1"/>
  <c r="B79" i="4" s="1"/>
  <c r="B75" i="1"/>
  <c r="E75" i="1" s="1"/>
  <c r="C75" i="1"/>
  <c r="B80" i="4" s="1"/>
  <c r="B76" i="1"/>
  <c r="E76" i="1" s="1"/>
  <c r="C76" i="1"/>
  <c r="B81" i="4" s="1"/>
  <c r="B77" i="1"/>
  <c r="E77" i="1" s="1"/>
  <c r="C77" i="1"/>
  <c r="B82" i="4" s="1"/>
  <c r="B78" i="1"/>
  <c r="E78" i="1" s="1"/>
  <c r="C78" i="1"/>
  <c r="B83" i="4" s="1"/>
  <c r="B79" i="1"/>
  <c r="D79" i="1" s="1"/>
  <c r="C84" i="4" s="1"/>
  <c r="C79" i="1"/>
  <c r="B84" i="4" s="1"/>
  <c r="B80" i="1"/>
  <c r="E80" i="1" s="1"/>
  <c r="C80" i="1"/>
  <c r="B85" i="4" s="1"/>
  <c r="B81" i="1"/>
  <c r="D81" i="1" s="1"/>
  <c r="C86" i="4" s="1"/>
  <c r="C81" i="1"/>
  <c r="B86" i="4" s="1"/>
  <c r="B82" i="1"/>
  <c r="D82" i="1" s="1"/>
  <c r="C87" i="4" s="1"/>
  <c r="C82" i="1"/>
  <c r="B87" i="4" s="1"/>
  <c r="B83" i="1"/>
  <c r="D83" i="1" s="1"/>
  <c r="C88" i="4" s="1"/>
  <c r="C83" i="1"/>
  <c r="B88" i="4" s="1"/>
  <c r="B84" i="1"/>
  <c r="D84" i="1" s="1"/>
  <c r="C89" i="4" s="1"/>
  <c r="C84" i="1"/>
  <c r="B89" i="4" s="1"/>
  <c r="B85" i="1"/>
  <c r="E85" i="1" s="1"/>
  <c r="C85" i="1"/>
  <c r="B90" i="4" s="1"/>
  <c r="B86" i="1"/>
  <c r="D86" i="1" s="1"/>
  <c r="C91" i="4" s="1"/>
  <c r="C86" i="1"/>
  <c r="B91" i="4" s="1"/>
  <c r="B87" i="1"/>
  <c r="E87" i="1" s="1"/>
  <c r="C87" i="1"/>
  <c r="B92" i="4" s="1"/>
  <c r="B88" i="1"/>
  <c r="E88" i="1" s="1"/>
  <c r="C88" i="1"/>
  <c r="B93" i="4" s="1"/>
  <c r="B89" i="1"/>
  <c r="E89" i="1" s="1"/>
  <c r="C89" i="1"/>
  <c r="B94" i="4" s="1"/>
  <c r="B90" i="1"/>
  <c r="E90" i="1" s="1"/>
  <c r="C90" i="1"/>
  <c r="B95" i="4" s="1"/>
  <c r="B91" i="1"/>
  <c r="D91" i="1" s="1"/>
  <c r="C96" i="4" s="1"/>
  <c r="C91" i="1"/>
  <c r="B96" i="4" s="1"/>
  <c r="B92" i="1"/>
  <c r="E92" i="1" s="1"/>
  <c r="C92" i="1"/>
  <c r="B97" i="4" s="1"/>
  <c r="B93" i="1"/>
  <c r="D93" i="1" s="1"/>
  <c r="C98" i="4" s="1"/>
  <c r="C93" i="1"/>
  <c r="B98" i="4" s="1"/>
  <c r="B94" i="1"/>
  <c r="D94" i="1" s="1"/>
  <c r="C99" i="4" s="1"/>
  <c r="C94" i="1"/>
  <c r="B99" i="4" s="1"/>
  <c r="B95" i="1"/>
  <c r="D95" i="1" s="1"/>
  <c r="C100" i="4" s="1"/>
  <c r="C95" i="1"/>
  <c r="B100" i="4" s="1"/>
  <c r="B96" i="1"/>
  <c r="D96" i="1" s="1"/>
  <c r="C101" i="4" s="1"/>
  <c r="C96" i="1"/>
  <c r="B101" i="4" s="1"/>
  <c r="B97" i="1"/>
  <c r="E97" i="1" s="1"/>
  <c r="C97" i="1"/>
  <c r="B102" i="4" s="1"/>
  <c r="B98" i="1"/>
  <c r="E98" i="1" s="1"/>
  <c r="C98" i="1"/>
  <c r="B103" i="4" s="1"/>
  <c r="B99" i="1"/>
  <c r="E99" i="1" s="1"/>
  <c r="C99" i="1"/>
  <c r="B104" i="4" s="1"/>
  <c r="B100" i="1"/>
  <c r="E100" i="1" s="1"/>
  <c r="C100" i="1"/>
  <c r="B105" i="4" s="1"/>
  <c r="B101" i="1"/>
  <c r="E101" i="1" s="1"/>
  <c r="C101" i="1"/>
  <c r="B106" i="4" s="1"/>
  <c r="B102" i="1"/>
  <c r="E102" i="1" s="1"/>
  <c r="C102" i="1"/>
  <c r="B107" i="4" s="1"/>
  <c r="B103" i="1"/>
  <c r="D103" i="1" s="1"/>
  <c r="C108" i="4" s="1"/>
  <c r="C103" i="1"/>
  <c r="B108" i="4" s="1"/>
  <c r="B104" i="1"/>
  <c r="E104" i="1" s="1"/>
  <c r="C104" i="1"/>
  <c r="B109" i="4" s="1"/>
  <c r="B105" i="1"/>
  <c r="D105" i="1" s="1"/>
  <c r="C110" i="4" s="1"/>
  <c r="C105" i="1"/>
  <c r="B110" i="4" s="1"/>
  <c r="B106" i="1"/>
  <c r="D106" i="1" s="1"/>
  <c r="C111" i="4" s="1"/>
  <c r="C106" i="1"/>
  <c r="B111" i="4" s="1"/>
  <c r="B107" i="1"/>
  <c r="D107" i="1" s="1"/>
  <c r="C112" i="4" s="1"/>
  <c r="C107" i="1"/>
  <c r="B112" i="4" s="1"/>
  <c r="C8" i="1"/>
  <c r="B13" i="4" s="1"/>
  <c r="B8" i="1"/>
  <c r="D8" i="1" s="1"/>
  <c r="A4" i="2"/>
  <c r="D51" i="1" l="1"/>
  <c r="C56" i="4" s="1"/>
  <c r="E66" i="1"/>
  <c r="E59" i="1"/>
  <c r="E47" i="1"/>
  <c r="D104" i="1"/>
  <c r="C109" i="4" s="1"/>
  <c r="E44" i="1"/>
  <c r="E83" i="1"/>
  <c r="E107" i="1"/>
  <c r="D92" i="1"/>
  <c r="C97" i="4" s="1"/>
  <c r="E95" i="1"/>
  <c r="E71" i="1"/>
  <c r="J19" i="1"/>
  <c r="F24" i="4" s="1"/>
  <c r="E24" i="4"/>
  <c r="J89" i="1"/>
  <c r="F94" i="4" s="1"/>
  <c r="E94" i="4"/>
  <c r="J77" i="1"/>
  <c r="F82" i="4" s="1"/>
  <c r="E82" i="4"/>
  <c r="J53" i="1"/>
  <c r="F58" i="4" s="1"/>
  <c r="E58" i="4"/>
  <c r="J41" i="1"/>
  <c r="F46" i="4" s="1"/>
  <c r="E46" i="4"/>
  <c r="J29" i="1"/>
  <c r="F34" i="4" s="1"/>
  <c r="E34" i="4"/>
  <c r="D61" i="1"/>
  <c r="C66" i="4" s="1"/>
  <c r="D102" i="1"/>
  <c r="C107" i="4" s="1"/>
  <c r="E42" i="1"/>
  <c r="D99" i="1"/>
  <c r="C104" i="4" s="1"/>
  <c r="D54" i="1"/>
  <c r="C59" i="4" s="1"/>
  <c r="E93" i="1"/>
  <c r="E67" i="1"/>
  <c r="E32" i="4"/>
  <c r="D90" i="1"/>
  <c r="C95" i="4" s="1"/>
  <c r="D49" i="1"/>
  <c r="C54" i="4" s="1"/>
  <c r="E91" i="1"/>
  <c r="E104" i="4"/>
  <c r="E19" i="4"/>
  <c r="E56" i="4"/>
  <c r="E57" i="1"/>
  <c r="D80" i="1"/>
  <c r="C85" i="4" s="1"/>
  <c r="E56" i="1"/>
  <c r="D78" i="1"/>
  <c r="C83" i="4" s="1"/>
  <c r="D39" i="1"/>
  <c r="C44" i="4" s="1"/>
  <c r="E81" i="1"/>
  <c r="E55" i="1"/>
  <c r="D87" i="1"/>
  <c r="C92" i="4" s="1"/>
  <c r="E80" i="4"/>
  <c r="D75" i="1"/>
  <c r="C80" i="4" s="1"/>
  <c r="D68" i="1"/>
  <c r="C73" i="4" s="1"/>
  <c r="E105" i="1"/>
  <c r="E79" i="1"/>
  <c r="E45" i="1"/>
  <c r="D63" i="1"/>
  <c r="C68" i="4" s="1"/>
  <c r="E103" i="1"/>
  <c r="E70" i="4"/>
  <c r="E44" i="4"/>
  <c r="E69" i="1"/>
  <c r="E43" i="1"/>
  <c r="E92" i="4"/>
  <c r="E68" i="4"/>
  <c r="E35" i="1"/>
  <c r="D32" i="1"/>
  <c r="C37" i="4" s="1"/>
  <c r="C35" i="4"/>
  <c r="E30" i="1"/>
  <c r="D20" i="1"/>
  <c r="C25" i="4" s="1"/>
  <c r="D18" i="1"/>
  <c r="C23" i="4" s="1"/>
  <c r="E31" i="1"/>
  <c r="E23" i="1"/>
  <c r="D15" i="1"/>
  <c r="C20" i="4" s="1"/>
  <c r="E21" i="1"/>
  <c r="E25" i="1"/>
  <c r="E27" i="1"/>
  <c r="E33" i="1"/>
  <c r="E13" i="1"/>
  <c r="E19" i="1"/>
  <c r="D37" i="1"/>
  <c r="C42" i="4" s="1"/>
  <c r="E8" i="1"/>
  <c r="C13" i="4"/>
  <c r="E12" i="1"/>
  <c r="C17" i="4"/>
  <c r="J107" i="1"/>
  <c r="F112" i="4" s="1"/>
  <c r="E112" i="4"/>
  <c r="J95" i="1"/>
  <c r="F100" i="4" s="1"/>
  <c r="E100" i="4"/>
  <c r="J71" i="1"/>
  <c r="F76" i="4" s="1"/>
  <c r="E76" i="4"/>
  <c r="J47" i="1"/>
  <c r="F52" i="4" s="1"/>
  <c r="E52" i="4"/>
  <c r="J35" i="1"/>
  <c r="F40" i="4" s="1"/>
  <c r="E40" i="4"/>
  <c r="J23" i="1"/>
  <c r="F28" i="4" s="1"/>
  <c r="E28" i="4"/>
  <c r="J11" i="1"/>
  <c r="F16" i="4" s="1"/>
  <c r="E16" i="4"/>
  <c r="J37" i="1"/>
  <c r="F42" i="4" s="1"/>
  <c r="E42" i="4"/>
  <c r="E11" i="1"/>
  <c r="C16" i="4"/>
  <c r="J106" i="1"/>
  <c r="F111" i="4" s="1"/>
  <c r="E111" i="4"/>
  <c r="J97" i="1"/>
  <c r="F102" i="4" s="1"/>
  <c r="E102" i="4"/>
  <c r="J73" i="1"/>
  <c r="F78" i="4" s="1"/>
  <c r="E78" i="4"/>
  <c r="J61" i="1"/>
  <c r="F66" i="4" s="1"/>
  <c r="E66" i="4"/>
  <c r="J25" i="1"/>
  <c r="F30" i="4" s="1"/>
  <c r="E30" i="4"/>
  <c r="J85" i="1"/>
  <c r="F90" i="4" s="1"/>
  <c r="E90" i="4"/>
  <c r="E10" i="1"/>
  <c r="C15" i="4"/>
  <c r="J103" i="1"/>
  <c r="F108" i="4" s="1"/>
  <c r="E108" i="4"/>
  <c r="J91" i="1"/>
  <c r="F96" i="4" s="1"/>
  <c r="E96" i="4"/>
  <c r="J49" i="1"/>
  <c r="F54" i="4" s="1"/>
  <c r="E54" i="4"/>
  <c r="E9" i="1"/>
  <c r="C14" i="4"/>
  <c r="E106" i="4"/>
  <c r="D41" i="1"/>
  <c r="C46" i="4" s="1"/>
  <c r="E86" i="1"/>
  <c r="E62" i="1"/>
  <c r="E38" i="1"/>
  <c r="E26" i="1"/>
  <c r="E96" i="1"/>
  <c r="E84" i="1"/>
  <c r="E72" i="1"/>
  <c r="E60" i="1"/>
  <c r="E48" i="1"/>
  <c r="E36" i="1"/>
  <c r="E24" i="1"/>
  <c r="E109" i="4"/>
  <c r="E97" i="4"/>
  <c r="E85" i="4"/>
  <c r="E73" i="4"/>
  <c r="E61" i="4"/>
  <c r="E49" i="4"/>
  <c r="E37" i="4"/>
  <c r="E22" i="4"/>
  <c r="E106" i="1"/>
  <c r="E94" i="1"/>
  <c r="E82" i="1"/>
  <c r="E70" i="1"/>
  <c r="E58" i="1"/>
  <c r="E46" i="1"/>
  <c r="E34" i="1"/>
  <c r="E22" i="1"/>
  <c r="E99" i="4"/>
  <c r="E87" i="4"/>
  <c r="E75" i="4"/>
  <c r="E63" i="4"/>
  <c r="E51" i="4"/>
  <c r="E39" i="4"/>
  <c r="E27" i="4"/>
  <c r="E101" i="4"/>
  <c r="E89" i="4"/>
  <c r="E77" i="4"/>
  <c r="E65" i="4"/>
  <c r="E53" i="4"/>
  <c r="E41" i="4"/>
  <c r="E29" i="4"/>
  <c r="E21" i="4"/>
  <c r="D29" i="1"/>
  <c r="C34" i="4" s="1"/>
  <c r="D100" i="1"/>
  <c r="C105" i="4" s="1"/>
  <c r="D88" i="1"/>
  <c r="C93" i="4" s="1"/>
  <c r="D76" i="1"/>
  <c r="C81" i="4" s="1"/>
  <c r="D64" i="1"/>
  <c r="C69" i="4" s="1"/>
  <c r="D52" i="1"/>
  <c r="C57" i="4" s="1"/>
  <c r="D40" i="1"/>
  <c r="C45" i="4" s="1"/>
  <c r="D28" i="1"/>
  <c r="C33" i="4" s="1"/>
  <c r="D16" i="1"/>
  <c r="C21" i="4" s="1"/>
  <c r="E84" i="4"/>
  <c r="E72" i="4"/>
  <c r="E60" i="4"/>
  <c r="E48" i="4"/>
  <c r="E36" i="4"/>
  <c r="D101" i="1"/>
  <c r="C106" i="4" s="1"/>
  <c r="E103" i="4"/>
  <c r="E91" i="4"/>
  <c r="E79" i="4"/>
  <c r="E67" i="4"/>
  <c r="E55" i="4"/>
  <c r="E43" i="4"/>
  <c r="E31" i="4"/>
  <c r="E18" i="4"/>
  <c r="E110" i="4"/>
  <c r="E98" i="4"/>
  <c r="E86" i="4"/>
  <c r="E74" i="4"/>
  <c r="E62" i="4"/>
  <c r="E50" i="4"/>
  <c r="E38" i="4"/>
  <c r="E26" i="4"/>
  <c r="D89" i="1"/>
  <c r="C94" i="4" s="1"/>
  <c r="D53" i="1"/>
  <c r="C58" i="4" s="1"/>
  <c r="D17" i="1"/>
  <c r="C22" i="4" s="1"/>
  <c r="D14" i="1"/>
  <c r="C19" i="4" s="1"/>
  <c r="E65" i="1"/>
  <c r="D97" i="1"/>
  <c r="C102" i="4" s="1"/>
  <c r="D85" i="1"/>
  <c r="C90" i="4" s="1"/>
  <c r="D73" i="1"/>
  <c r="C78" i="4" s="1"/>
  <c r="E105" i="4"/>
  <c r="E93" i="4"/>
  <c r="E81" i="4"/>
  <c r="E69" i="4"/>
  <c r="E57" i="4"/>
  <c r="E45" i="4"/>
  <c r="E33" i="4"/>
  <c r="E23" i="4"/>
  <c r="D77" i="1"/>
  <c r="C82" i="4" s="1"/>
  <c r="D98" i="1"/>
  <c r="C103" i="4" s="1"/>
  <c r="D74" i="1"/>
  <c r="C79" i="4" s="1"/>
  <c r="D50" i="1"/>
  <c r="C55" i="4" s="1"/>
  <c r="E88" i="4"/>
  <c r="E64" i="4"/>
  <c r="E20" i="4"/>
  <c r="E107" i="4"/>
  <c r="E95" i="4"/>
  <c r="E83" i="4"/>
  <c r="E71" i="4"/>
  <c r="E59" i="4"/>
  <c r="E47" i="4"/>
  <c r="E35" i="4"/>
  <c r="E25" i="4"/>
  <c r="E14" i="4"/>
  <c r="E17" i="4"/>
  <c r="E15" i="4"/>
  <c r="W8" i="1"/>
  <c r="I8" i="1" s="1"/>
  <c r="E29" i="1" l="1"/>
  <c r="E18" i="1"/>
  <c r="E17" i="1"/>
  <c r="E32" i="1"/>
  <c r="E14" i="1"/>
  <c r="E15" i="1"/>
  <c r="E37" i="1"/>
  <c r="E16" i="1"/>
  <c r="E28" i="1"/>
  <c r="E20" i="1"/>
  <c r="J8" i="1"/>
  <c r="F13" i="4" s="1"/>
  <c r="E13" i="4"/>
  <c r="H8" i="1"/>
  <c r="D13" i="4" s="1"/>
</calcChain>
</file>

<file path=xl/sharedStrings.xml><?xml version="1.0" encoding="utf-8"?>
<sst xmlns="http://schemas.openxmlformats.org/spreadsheetml/2006/main" count="439" uniqueCount="272">
  <si>
    <t>직책</t>
    <phoneticPr fontId="1" type="noConversion"/>
  </si>
  <si>
    <t>입사일</t>
    <phoneticPr fontId="1" type="noConversion"/>
  </si>
  <si>
    <t>01월</t>
    <phoneticPr fontId="1" type="noConversion"/>
  </si>
  <si>
    <t>02월</t>
    <phoneticPr fontId="1" type="noConversion"/>
  </si>
  <si>
    <t>03월</t>
    <phoneticPr fontId="1" type="noConversion"/>
  </si>
  <si>
    <t>04월</t>
    <phoneticPr fontId="1" type="noConversion"/>
  </si>
  <si>
    <t>05월</t>
    <phoneticPr fontId="1" type="noConversion"/>
  </si>
  <si>
    <t>06월</t>
    <phoneticPr fontId="1" type="noConversion"/>
  </si>
  <si>
    <t>07월</t>
    <phoneticPr fontId="1" type="noConversion"/>
  </si>
  <si>
    <t>08월</t>
    <phoneticPr fontId="1" type="noConversion"/>
  </si>
  <si>
    <t>09월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</si>
  <si>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</si>
  <si>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</si>
  <si>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</si>
  <si>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사용합계</t>
    <phoneticPr fontId="1" type="noConversion"/>
  </si>
  <si>
    <t>입사일</t>
    <phoneticPr fontId="1" type="noConversion"/>
  </si>
  <si>
    <t>연차일수</t>
    <phoneticPr fontId="1" type="noConversion"/>
  </si>
  <si>
    <t>반차일수
 합계</t>
    <phoneticPr fontId="1" type="noConversion"/>
  </si>
  <si>
    <t>연차수
조정</t>
    <phoneticPr fontId="1" type="noConversion"/>
  </si>
  <si>
    <t>사용가능
연차</t>
    <phoneticPr fontId="1" type="noConversion"/>
  </si>
  <si>
    <t xml:space="preserve">연차휴가 관리대장 </t>
    <phoneticPr fontId="1" type="noConversion"/>
  </si>
  <si>
    <t>사원번호</t>
    <phoneticPr fontId="1" type="noConversion"/>
  </si>
  <si>
    <t>회사명</t>
    <phoneticPr fontId="1" type="noConversion"/>
  </si>
  <si>
    <t>대표자</t>
    <phoneticPr fontId="1" type="noConversion"/>
  </si>
  <si>
    <t>소재지</t>
    <phoneticPr fontId="1" type="noConversion"/>
  </si>
  <si>
    <t>연락처</t>
    <phoneticPr fontId="1" type="noConversion"/>
  </si>
  <si>
    <t>회사정보 입력란</t>
    <phoneticPr fontId="1" type="noConversion"/>
  </si>
  <si>
    <t>연차시작일</t>
    <phoneticPr fontId="1" type="noConversion"/>
  </si>
  <si>
    <t>월별 휴가 사용내역</t>
    <phoneticPr fontId="1" type="noConversion"/>
  </si>
  <si>
    <t>성  명</t>
    <phoneticPr fontId="1" type="noConversion"/>
  </si>
  <si>
    <t>(=)남은연차</t>
    <phoneticPr fontId="1" type="noConversion"/>
  </si>
  <si>
    <t>(-)사용연차</t>
    <phoneticPr fontId="1" type="noConversion"/>
  </si>
  <si>
    <t>비    고</t>
    <phoneticPr fontId="1" type="noConversion"/>
  </si>
  <si>
    <t>직  책</t>
    <phoneticPr fontId="1" type="noConversion"/>
  </si>
  <si>
    <t>부  서</t>
    <phoneticPr fontId="1" type="noConversion"/>
  </si>
  <si>
    <t>입  사  일</t>
    <phoneticPr fontId="1" type="noConversion"/>
  </si>
  <si>
    <t>비   고</t>
    <phoneticPr fontId="1" type="noConversion"/>
  </si>
  <si>
    <t>대표 결재란</t>
    <phoneticPr fontId="1" type="noConversion"/>
  </si>
  <si>
    <t>담당자 결재란</t>
    <phoneticPr fontId="1" type="noConversion"/>
  </si>
  <si>
    <t>1. Main 탭 - 회사정보 입력, 사원명부 입력</t>
    <phoneticPr fontId="1" type="noConversion"/>
  </si>
  <si>
    <t xml:space="preserve">2. 휴가대장 관리용 탭 </t>
    <phoneticPr fontId="1" type="noConversion"/>
  </si>
  <si>
    <t>1) 연차일수, 연차수 조정 입력</t>
    <phoneticPr fontId="1" type="noConversion"/>
  </si>
  <si>
    <t>2) 연차 사용내역 입력</t>
    <phoneticPr fontId="1" type="noConversion"/>
  </si>
  <si>
    <t xml:space="preserve"> (--&gt; ex) 반차 3번 사용시 = 1.5 입력,   반차 1번 사용시 = 0.5 입력)</t>
    <phoneticPr fontId="1" type="noConversion"/>
  </si>
  <si>
    <t>* 엑셀수식이 깨질 수 있으므로 원본엑셀을 꼭 저장해두시길 바랍니다.</t>
    <phoneticPr fontId="1" type="noConversion"/>
  </si>
  <si>
    <t>1년에 80%이상 출근하면 15일의 연차유급휴가를 주어야 함.</t>
    <phoneticPr fontId="1" type="noConversion"/>
  </si>
  <si>
    <t>1년미만일 때 최대 11일, 2년차일 때 15일연차휴가 사용가능하나,</t>
    <phoneticPr fontId="1" type="noConversion"/>
  </si>
  <si>
    <t xml:space="preserve">5인미만사업장인지, 5인이상사업장인지 여부 및 사전에 상호합의 여부에 따라 </t>
    <phoneticPr fontId="1" type="noConversion"/>
  </si>
  <si>
    <t xml:space="preserve">* 연차휴가 </t>
    <phoneticPr fontId="1" type="noConversion"/>
  </si>
  <si>
    <t>* 개정 연차휴가</t>
    <phoneticPr fontId="1" type="noConversion"/>
  </si>
  <si>
    <r>
      <t xml:space="preserve">3) </t>
    </r>
    <r>
      <rPr>
        <b/>
        <u/>
        <sz val="14"/>
        <color theme="4" tint="-0.249977111117893"/>
        <rFont val="맑은 고딕"/>
        <family val="3"/>
        <charset val="129"/>
        <scheme val="minor"/>
      </rPr>
      <t>반차 합계일수 입력</t>
    </r>
    <phoneticPr fontId="1" type="noConversion"/>
  </si>
  <si>
    <r>
      <t xml:space="preserve"> -&gt; 몇일에 사용하였는지 입력필요 // </t>
    </r>
    <r>
      <rPr>
        <b/>
        <u/>
        <sz val="12"/>
        <color rgb="FFFF0000"/>
        <rFont val="맑은 고딕"/>
        <family val="3"/>
        <charset val="129"/>
        <scheme val="minor"/>
      </rPr>
      <t>반드시 " , " (콤마)를 사용하여 일수를 구분해야 함.</t>
    </r>
    <phoneticPr fontId="1" type="noConversion"/>
  </si>
  <si>
    <t>사용가능여부가 달라지므로 관련기관에 반드시 문의하셔야 합니다.</t>
    <phoneticPr fontId="1" type="noConversion"/>
  </si>
  <si>
    <t>* 출력 전에 출력되는 페이지 확인바랍니다.</t>
    <phoneticPr fontId="1" type="noConversion"/>
  </si>
  <si>
    <t>출처 : 네이버, 지식백과 / 지식인</t>
    <phoneticPr fontId="1" type="noConversion"/>
  </si>
  <si>
    <r>
      <t xml:space="preserve">3. 원본엑셀은 보관 잘 해두시길 바라며, </t>
    </r>
    <r>
      <rPr>
        <b/>
        <u/>
        <sz val="16"/>
        <color theme="4" tint="-0.249977111117893"/>
        <rFont val="맑은 고딕"/>
        <family val="3"/>
        <charset val="129"/>
        <scheme val="minor"/>
      </rPr>
      <t xml:space="preserve">엑셀을 복사하여 </t>
    </r>
    <r>
      <rPr>
        <b/>
        <u/>
        <sz val="16"/>
        <color rgb="FFFF0000"/>
        <rFont val="맑은 고딕"/>
        <family val="3"/>
        <charset val="129"/>
        <scheme val="minor"/>
      </rPr>
      <t>연도별로</t>
    </r>
    <r>
      <rPr>
        <b/>
        <u/>
        <sz val="16"/>
        <color theme="4" tint="-0.249977111117893"/>
        <rFont val="맑은 고딕"/>
        <family val="3"/>
        <charset val="129"/>
        <scheme val="minor"/>
      </rPr>
      <t xml:space="preserve"> 사용하시는걸 추천드립니다.</t>
    </r>
    <phoneticPr fontId="1" type="noConversion"/>
  </si>
  <si>
    <r>
      <t xml:space="preserve"> -&gt; </t>
    </r>
    <r>
      <rPr>
        <b/>
        <u/>
        <sz val="12"/>
        <color rgb="FFFF0000"/>
        <rFont val="맑은 고딕"/>
        <family val="3"/>
        <charset val="129"/>
        <scheme val="minor"/>
      </rPr>
      <t>연차일수 : 연도별로 연차일수를 계산</t>
    </r>
    <r>
      <rPr>
        <b/>
        <sz val="12"/>
        <color theme="4" tint="-0.249977111117893"/>
        <rFont val="맑은 고딕"/>
        <family val="3"/>
        <charset val="129"/>
        <scheme val="minor"/>
      </rPr>
      <t>하며, 전기 이월분은 연차수조정을 통해 계산함.  // 연차수조정 : 전기 이월된 연차 or 미리 사용한 연차를 조정</t>
    </r>
    <phoneticPr fontId="1" type="noConversion"/>
  </si>
  <si>
    <t>㈜한슬</t>
    <phoneticPr fontId="1" type="noConversion"/>
  </si>
  <si>
    <t>정영수</t>
    <phoneticPr fontId="1" type="noConversion"/>
  </si>
  <si>
    <t>대구 달서구 성서공단북로 305</t>
    <phoneticPr fontId="1" type="noConversion"/>
  </si>
  <si>
    <t>이사</t>
  </si>
  <si>
    <t>차장</t>
  </si>
  <si>
    <t>실장</t>
  </si>
  <si>
    <t>과장</t>
  </si>
  <si>
    <t>대리</t>
  </si>
  <si>
    <t>사원</t>
  </si>
  <si>
    <t>반장</t>
  </si>
  <si>
    <t>부장</t>
  </si>
  <si>
    <t>연구소장</t>
  </si>
  <si>
    <t>주임연구원</t>
  </si>
  <si>
    <t>팀장</t>
  </si>
  <si>
    <t>공통 부서</t>
  </si>
  <si>
    <t>개발1팀</t>
  </si>
  <si>
    <t>개발2팀</t>
  </si>
  <si>
    <t>CAD실</t>
  </si>
  <si>
    <t>경영지원팀</t>
  </si>
  <si>
    <t>부설연구소</t>
  </si>
  <si>
    <t>양승진</t>
  </si>
  <si>
    <t>최창열</t>
  </si>
  <si>
    <t>김은정</t>
  </si>
  <si>
    <t>이정화</t>
  </si>
  <si>
    <t>하치복</t>
  </si>
  <si>
    <t>권혁진</t>
  </si>
  <si>
    <t>김경태</t>
  </si>
  <si>
    <t>조근일</t>
  </si>
  <si>
    <t>이재형</t>
  </si>
  <si>
    <t>임소연</t>
  </si>
  <si>
    <t>김지혜</t>
  </si>
  <si>
    <t>정승후</t>
  </si>
  <si>
    <t>나유성</t>
  </si>
  <si>
    <t>정현웅</t>
  </si>
  <si>
    <t>정희웅</t>
  </si>
  <si>
    <t>김희승</t>
  </si>
  <si>
    <t>곽병현</t>
  </si>
  <si>
    <t>윤은호</t>
  </si>
  <si>
    <t>김윤회</t>
  </si>
  <si>
    <t>여도근</t>
  </si>
  <si>
    <t>석진태</t>
  </si>
  <si>
    <t>강영은</t>
  </si>
  <si>
    <t>이한빈</t>
  </si>
  <si>
    <t>백현덕</t>
  </si>
  <si>
    <t>2013-04-26</t>
  </si>
  <si>
    <t>2013-11-04</t>
  </si>
  <si>
    <t>2015-03-16</t>
  </si>
  <si>
    <t>2018-07-02</t>
  </si>
  <si>
    <t>2018-09-27</t>
  </si>
  <si>
    <t>2018-07-25</t>
  </si>
  <si>
    <t>2018-09-03</t>
  </si>
  <si>
    <t>2019-04-08</t>
  </si>
  <si>
    <t>2019-07-01</t>
  </si>
  <si>
    <t>2022-03-21</t>
  </si>
  <si>
    <t>2022-04-01</t>
  </si>
  <si>
    <t>1990-09-01</t>
  </si>
  <si>
    <t>2000-10-01</t>
  </si>
  <si>
    <t>2002-07-26</t>
  </si>
  <si>
    <t>2003-01-02</t>
  </si>
  <si>
    <t>2004-03-15</t>
  </si>
  <si>
    <t>2004-11-10</t>
  </si>
  <si>
    <t>2006-12-01</t>
  </si>
  <si>
    <t>2018-02-06</t>
  </si>
  <si>
    <t>2019-11-02</t>
  </si>
  <si>
    <t>2022-08-03</t>
  </si>
  <si>
    <t>2023-01-01</t>
  </si>
  <si>
    <t>2023-03-06</t>
  </si>
  <si>
    <t>사원</t>
    <phoneticPr fontId="1" type="noConversion"/>
  </si>
  <si>
    <t>이종근</t>
  </si>
  <si>
    <t>이채령</t>
  </si>
  <si>
    <t>경영팀</t>
    <phoneticPr fontId="1" type="noConversion"/>
  </si>
  <si>
    <t>이종근</t>
    <phoneticPr fontId="1" type="noConversion"/>
  </si>
  <si>
    <t>이채령</t>
    <phoneticPr fontId="1" type="noConversion"/>
  </si>
  <si>
    <t>개발1팀</t>
    <phoneticPr fontId="1" type="noConversion"/>
  </si>
  <si>
    <t xml:space="preserve">이름 </t>
    <phoneticPr fontId="1" type="noConversion"/>
  </si>
  <si>
    <t>2일</t>
    <phoneticPr fontId="1" type="noConversion"/>
  </si>
  <si>
    <t>3일</t>
    <phoneticPr fontId="1" type="noConversion"/>
  </si>
  <si>
    <t>22일</t>
    <phoneticPr fontId="1" type="noConversion"/>
  </si>
  <si>
    <t>10일</t>
    <phoneticPr fontId="1" type="noConversion"/>
  </si>
  <si>
    <t>9일(오전반차),14일,
20일(오후반차)</t>
    <phoneticPr fontId="1" type="noConversion"/>
  </si>
  <si>
    <t>2일,8일(오전반차),
22일,31일</t>
    <phoneticPr fontId="1" type="noConversion"/>
  </si>
  <si>
    <t>31일</t>
    <phoneticPr fontId="1" type="noConversion"/>
  </si>
  <si>
    <t>17일,20일</t>
    <phoneticPr fontId="1" type="noConversion"/>
  </si>
  <si>
    <t>14일(오후반차)</t>
    <phoneticPr fontId="1" type="noConversion"/>
  </si>
  <si>
    <t>3일,10일,14일</t>
    <phoneticPr fontId="1" type="noConversion"/>
  </si>
  <si>
    <t>9일(오후반차),
15일(오후반차)</t>
    <phoneticPr fontId="1" type="noConversion"/>
  </si>
  <si>
    <t>9일(오후반차)</t>
    <phoneticPr fontId="1" type="noConversion"/>
  </si>
  <si>
    <t>7일(오후반차)</t>
    <phoneticPr fontId="1" type="noConversion"/>
  </si>
  <si>
    <t>10일(오후반차)</t>
    <phoneticPr fontId="1" type="noConversion"/>
  </si>
  <si>
    <t>17일(오후반차),
31일(오후반차)</t>
    <phoneticPr fontId="1" type="noConversion"/>
  </si>
  <si>
    <t>12일,13일,14일</t>
    <phoneticPr fontId="1" type="noConversion"/>
  </si>
  <si>
    <t>3일,9일(오전반차)</t>
    <phoneticPr fontId="1" type="noConversion"/>
  </si>
  <si>
    <t>6일(오후반차),
9일(오전반차),
24일(오후반차)</t>
    <phoneticPr fontId="1" type="noConversion"/>
  </si>
  <si>
    <t>14일</t>
    <phoneticPr fontId="1" type="noConversion"/>
  </si>
  <si>
    <t>28일(오후반차)</t>
    <phoneticPr fontId="1" type="noConversion"/>
  </si>
  <si>
    <t>27(오전반차)</t>
    <phoneticPr fontId="1" type="noConversion"/>
  </si>
  <si>
    <t>05(오후반차),12</t>
    <phoneticPr fontId="1" type="noConversion"/>
  </si>
  <si>
    <t>20일,27,28</t>
    <phoneticPr fontId="1" type="noConversion"/>
  </si>
  <si>
    <t>4,5</t>
    <phoneticPr fontId="1" type="noConversion"/>
  </si>
  <si>
    <t>06(오전반차),
25(오후반차)</t>
    <phoneticPr fontId="1" type="noConversion"/>
  </si>
  <si>
    <t>12(오후반차)</t>
    <phoneticPr fontId="1" type="noConversion"/>
  </si>
  <si>
    <t>24(오후반차)</t>
    <phoneticPr fontId="1" type="noConversion"/>
  </si>
  <si>
    <t>21(오후반차)</t>
    <phoneticPr fontId="1" type="noConversion"/>
  </si>
  <si>
    <t>4,25(오후반차)</t>
    <phoneticPr fontId="1" type="noConversion"/>
  </si>
  <si>
    <t>13(오전반차)</t>
    <phoneticPr fontId="1" type="noConversion"/>
  </si>
  <si>
    <t>최창진</t>
    <phoneticPr fontId="1" type="noConversion"/>
  </si>
  <si>
    <t>28(오후반차)</t>
    <phoneticPr fontId="1" type="noConversion"/>
  </si>
  <si>
    <t>02일</t>
    <phoneticPr fontId="1" type="noConversion"/>
  </si>
  <si>
    <t>25일</t>
    <phoneticPr fontId="1" type="noConversion"/>
  </si>
  <si>
    <t>29일,30일</t>
    <phoneticPr fontId="1" type="noConversion"/>
  </si>
  <si>
    <t>18일</t>
    <phoneticPr fontId="1" type="noConversion"/>
  </si>
  <si>
    <t>28일</t>
    <phoneticPr fontId="1" type="noConversion"/>
  </si>
  <si>
    <t>1일(오전)</t>
    <phoneticPr fontId="1" type="noConversion"/>
  </si>
  <si>
    <t>4일</t>
    <phoneticPr fontId="1" type="noConversion"/>
  </si>
  <si>
    <t>25년6월24일 기준</t>
    <phoneticPr fontId="1" type="noConversion"/>
  </si>
  <si>
    <t>8일</t>
    <phoneticPr fontId="1" type="noConversion"/>
  </si>
  <si>
    <t>1년</t>
    <phoneticPr fontId="1" type="noConversion"/>
  </si>
  <si>
    <t>2년</t>
    <phoneticPr fontId="1" type="noConversion"/>
  </si>
  <si>
    <t>3년</t>
    <phoneticPr fontId="1" type="noConversion"/>
  </si>
  <si>
    <t>4년</t>
    <phoneticPr fontId="1" type="noConversion"/>
  </si>
  <si>
    <t>28일</t>
  </si>
  <si>
    <t>20일</t>
  </si>
  <si>
    <t>2일</t>
  </si>
  <si>
    <t>18일(오후)</t>
  </si>
  <si>
    <t>22일</t>
  </si>
  <si>
    <t>23일</t>
  </si>
  <si>
    <t>16일</t>
  </si>
  <si>
    <t>4일(오후반차)</t>
    <phoneticPr fontId="1" type="noConversion"/>
  </si>
  <si>
    <t>11일,26일,27일,30일</t>
    <phoneticPr fontId="1" type="noConversion"/>
  </si>
  <si>
    <t>27일,30일</t>
    <phoneticPr fontId="1" type="noConversion"/>
  </si>
  <si>
    <t>2일,27일</t>
    <phoneticPr fontId="1" type="noConversion"/>
  </si>
  <si>
    <t>8일,9일,10일,11일</t>
    <phoneticPr fontId="1" type="noConversion"/>
  </si>
  <si>
    <t>18일,21일,
22일,23일,24일,25일</t>
    <phoneticPr fontId="1" type="noConversion"/>
  </si>
  <si>
    <t>21일</t>
    <phoneticPr fontId="1" type="noConversion"/>
  </si>
  <si>
    <t>21일,28일</t>
    <phoneticPr fontId="1" type="noConversion"/>
  </si>
  <si>
    <t>28일,29일</t>
    <phoneticPr fontId="1" type="noConversion"/>
  </si>
  <si>
    <t>2일,25일</t>
    <phoneticPr fontId="1" type="noConversion"/>
  </si>
  <si>
    <t>11일,12일,13일,19일</t>
    <phoneticPr fontId="1" type="noConversion"/>
  </si>
  <si>
    <t>4일,5일</t>
    <phoneticPr fontId="1" type="noConversion"/>
  </si>
  <si>
    <t>3일(오후반차),
8일(오후반차),
9일(오후반차),
15일(오후반차),
17일(오전반차),
24일,
31일(오후반차)</t>
    <phoneticPr fontId="1" type="noConversion"/>
  </si>
  <si>
    <t>12일(오전반차)</t>
    <phoneticPr fontId="1" type="noConversion"/>
  </si>
  <si>
    <t>18일(오전반차),
18일(오후반차)</t>
    <phoneticPr fontId="1" type="noConversion"/>
  </si>
  <si>
    <t>8일(오전반차)</t>
    <phoneticPr fontId="1" type="noConversion"/>
  </si>
  <si>
    <t>17,
25(오전반차)
25(오후반차)</t>
    <phoneticPr fontId="1" type="noConversion"/>
  </si>
  <si>
    <t>24일(오후반차)</t>
    <phoneticPr fontId="1" type="noConversion"/>
  </si>
  <si>
    <t>1일</t>
    <phoneticPr fontId="1" type="noConversion"/>
  </si>
  <si>
    <t>30일,31일</t>
    <phoneticPr fontId="1" type="noConversion"/>
  </si>
  <si>
    <t>1일,4일</t>
  </si>
  <si>
    <t>11일,31일</t>
    <phoneticPr fontId="1" type="noConversion"/>
  </si>
  <si>
    <t>1일(오후반차)</t>
    <phoneticPr fontId="1" type="noConversion"/>
  </si>
  <si>
    <t>5일</t>
    <phoneticPr fontId="1" type="noConversion"/>
  </si>
  <si>
    <t>14일(오후반차),
19일(오전반차)</t>
    <phoneticPr fontId="1" type="noConversion"/>
  </si>
  <si>
    <t>14일(오전반차),
19일(오후반차)</t>
    <phoneticPr fontId="1" type="noConversion"/>
  </si>
  <si>
    <t>14(오후반차),
25(오전반차)</t>
    <phoneticPr fontId="1" type="noConversion"/>
  </si>
  <si>
    <t>31일,1일</t>
    <phoneticPr fontId="1" type="noConversion"/>
  </si>
  <si>
    <t>27일(오전반차)</t>
    <phoneticPr fontId="1" type="noConversion"/>
  </si>
  <si>
    <t>15일(오후반차),
18일,21일,
22일,23일,24일,25일</t>
    <phoneticPr fontId="1" type="noConversion"/>
  </si>
  <si>
    <t>2일, 
15일(오후반차)</t>
    <phoneticPr fontId="1" type="noConversion"/>
  </si>
  <si>
    <t>13일(오후반차),
16일,18일,
20일(오후반차)</t>
    <phoneticPr fontId="1" type="noConversion"/>
  </si>
  <si>
    <t>08(오후반차),
09일</t>
    <phoneticPr fontId="1" type="noConversion"/>
  </si>
  <si>
    <t>23일,
28일(오후반차)</t>
    <phoneticPr fontId="1" type="noConversion"/>
  </si>
  <si>
    <t>05일(오후반차)</t>
    <phoneticPr fontId="1" type="noConversion"/>
  </si>
  <si>
    <t>07일,16일,
17일(오후반차),
30일,31일</t>
    <phoneticPr fontId="1" type="noConversion"/>
  </si>
  <si>
    <t>7일(오후반차),
21일,28일</t>
    <phoneticPr fontId="1" type="noConversion"/>
  </si>
  <si>
    <t>14(오후반차)</t>
    <phoneticPr fontId="1" type="noConversion"/>
  </si>
  <si>
    <t>2일,
29일(오후반차)</t>
    <phoneticPr fontId="1" type="noConversion"/>
  </si>
  <si>
    <t>11일(오후반차),
31일</t>
    <phoneticPr fontId="1" type="noConversion"/>
  </si>
  <si>
    <t>3일(오후반자),
20일,31일</t>
    <phoneticPr fontId="1" type="noConversion"/>
  </si>
  <si>
    <t>10일(오후반차),
31일</t>
    <phoneticPr fontId="1" type="noConversion"/>
  </si>
  <si>
    <t>7일,
23일(오후반차)</t>
    <phoneticPr fontId="1" type="noConversion"/>
  </si>
  <si>
    <t>2일(오후반차)</t>
    <phoneticPr fontId="1" type="noConversion"/>
  </si>
  <si>
    <t>9일(오전반차),
16일(오후반차),
30일(오전)</t>
    <phoneticPr fontId="1" type="noConversion"/>
  </si>
  <si>
    <t>7일,
18일(오후반차)</t>
    <phoneticPr fontId="1" type="noConversion"/>
  </si>
  <si>
    <t>17일,18일23일,
30일(오후반차)</t>
    <phoneticPr fontId="1" type="noConversion"/>
  </si>
  <si>
    <t>18일(오후반차)</t>
    <phoneticPr fontId="1" type="noConversion"/>
  </si>
  <si>
    <t>3일(오후반차),
4일,
17일(오후반차),
28일,29일</t>
    <phoneticPr fontId="1" type="noConversion"/>
  </si>
  <si>
    <t>8일,
18일(오후반차),
22일(오후반차),
23일(오전반차)</t>
    <phoneticPr fontId="1" type="noConversion"/>
  </si>
  <si>
    <t>2일,
9일(오후반차),
19일(오후반차)</t>
    <phoneticPr fontId="1" type="noConversion"/>
  </si>
  <si>
    <t>13일(오후반차),
27일(오후반차)</t>
    <phoneticPr fontId="1" type="noConversion"/>
  </si>
  <si>
    <t>15(오후반차),
16(오전반차),
18일(오후반차)</t>
    <phoneticPr fontId="1" type="noConversion"/>
  </si>
  <si>
    <t>17일(오전반차),
17일(오후반차)</t>
    <phoneticPr fontId="1" type="noConversion"/>
  </si>
  <si>
    <t>20일(오후반차)</t>
    <phoneticPr fontId="1" type="noConversion"/>
  </si>
  <si>
    <t>6일(오전반차),
10일(오후반차)
18일</t>
    <phoneticPr fontId="1" type="noConversion"/>
  </si>
  <si>
    <t>9일(오후반차),
17일</t>
    <phoneticPr fontId="1" type="noConversion"/>
  </si>
  <si>
    <t>3일(오후반차),
20일,23일</t>
    <phoneticPr fontId="1" type="noConversion"/>
  </si>
  <si>
    <t>14일(오후반차),
21일(오후반차),
22일(오후반차)</t>
    <phoneticPr fontId="1" type="noConversion"/>
  </si>
  <si>
    <t>9일(오후반차),
16일(오후반차)</t>
    <phoneticPr fontId="1" type="noConversion"/>
  </si>
  <si>
    <t>16일(오후반차),
26일,27일</t>
    <phoneticPr fontId="1" type="noConversion"/>
  </si>
  <si>
    <t>15일(오후반차),
16일</t>
    <phoneticPr fontId="1" type="noConversion"/>
  </si>
  <si>
    <t>30일(오후반차)</t>
    <phoneticPr fontId="1" type="noConversion"/>
  </si>
  <si>
    <t>10일,
17일(오후반차)</t>
    <phoneticPr fontId="1" type="noConversion"/>
  </si>
  <si>
    <t>7일,
14일(오후반차)</t>
    <phoneticPr fontId="1" type="noConversion"/>
  </si>
  <si>
    <t>17,18,
28(오후반차)</t>
    <phoneticPr fontId="1" type="noConversion"/>
  </si>
  <si>
    <t>11일,
22(오후반차)</t>
    <phoneticPr fontId="1" type="noConversion"/>
  </si>
  <si>
    <t>10일(오후반차),
23일(오후반차),
27일</t>
    <phoneticPr fontId="1" type="noConversion"/>
  </si>
  <si>
    <t>14일,
15일(오후반차),
18일,21일,
22일,23일,24일,25일</t>
    <phoneticPr fontId="1" type="noConversion"/>
  </si>
  <si>
    <t>7,
20(오후반차),
24</t>
    <phoneticPr fontId="1" type="noConversion"/>
  </si>
  <si>
    <t>8일(오후반차),
9일</t>
    <phoneticPr fontId="1" type="noConversion"/>
  </si>
  <si>
    <t>12일(오전반차),
26일(오전반차)</t>
    <phoneticPr fontId="1" type="noConversion"/>
  </si>
  <si>
    <t>26일(오후반차)</t>
    <phoneticPr fontId="1" type="noConversion"/>
  </si>
  <si>
    <t>1일(오후반차),
7일,8일,
9일,10일,11일,21일</t>
    <phoneticPr fontId="1" type="noConversion"/>
  </si>
  <si>
    <t>19일(오후반차)</t>
    <phoneticPr fontId="1" type="noConversion"/>
  </si>
  <si>
    <t>25일(오전반차),
30일</t>
    <phoneticPr fontId="1" type="noConversion"/>
  </si>
  <si>
    <t>9일(오후반차),
28일</t>
    <phoneticPr fontId="1" type="noConversion"/>
  </si>
  <si>
    <t>17일(오후반차),
18일</t>
    <phoneticPr fontId="1" type="noConversion"/>
  </si>
  <si>
    <t>24일(오후반차),
30일(오전반차)</t>
    <phoneticPr fontId="1" type="noConversion"/>
  </si>
  <si>
    <t>4일,
12일(오후반차)</t>
    <phoneticPr fontId="1" type="noConversion"/>
  </si>
  <si>
    <t>5일(오후반차),
20일</t>
    <phoneticPr fontId="1" type="noConversion"/>
  </si>
  <si>
    <t>1일(오후반차),
18일(오전반차)</t>
    <phoneticPr fontId="1" type="noConversion"/>
  </si>
  <si>
    <t>1일(오전반차),
14일(오후반차)</t>
    <phoneticPr fontId="1" type="noConversion"/>
  </si>
  <si>
    <t>13일(오후반차)</t>
    <phoneticPr fontId="1" type="noConversion"/>
  </si>
  <si>
    <t>12일,13일</t>
    <phoneticPr fontId="1" type="noConversion"/>
  </si>
  <si>
    <t>1일,
14일(오전반차)</t>
    <phoneticPr fontId="1" type="noConversion"/>
  </si>
  <si>
    <t>8일(오후반차)</t>
    <phoneticPr fontId="1" type="noConversion"/>
  </si>
  <si>
    <t>18일(오전반차),
11일,
8일(오후반차)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</si>
</sst>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_-;\-* #,##0.0_-;_-* &quot;-&quot;_-;_-@_-"/>
    <numFmt numFmtId="177" formatCode="mm&quot;월&quot;\ dd&quot;일&quot;"/>
  </numFmts>
  <fonts count="3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1"/>
      <color theme="4" tint="-0.249977111117893"/>
      <name val="맑은 고딕"/>
      <family val="3"/>
      <charset val="129"/>
      <scheme val="minor"/>
    </font>
    <font>
      <b/>
      <sz val="12"/>
      <color theme="4" tint="-0.249977111117893"/>
      <name val="맑은 고딕"/>
      <family val="3"/>
      <charset val="129"/>
      <scheme val="minor"/>
    </font>
    <font>
      <b/>
      <sz val="14"/>
      <color theme="4" tint="-0.249977111117893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b/>
      <sz val="12"/>
      <color theme="4" tint="-0.499984740745262"/>
      <name val="맑은 고딕"/>
      <family val="3"/>
      <charset val="129"/>
      <scheme val="minor"/>
    </font>
    <font>
      <b/>
      <sz val="20"/>
      <color theme="4" tint="-0.249977111117893"/>
      <name val="맑은 고딕"/>
      <family val="3"/>
      <charset val="129"/>
      <scheme val="minor"/>
    </font>
    <font>
      <b/>
      <sz val="16"/>
      <color theme="4" tint="-0.499984740745262"/>
      <name val="맑은 고딕"/>
      <family val="3"/>
      <charset val="129"/>
      <scheme val="minor"/>
    </font>
    <font>
      <b/>
      <sz val="36"/>
      <color theme="4" tint="-0.249977111117893"/>
      <name val="맑은 고딕"/>
      <family val="3"/>
      <charset val="129"/>
      <scheme val="minor"/>
    </font>
    <font>
      <b/>
      <sz val="16"/>
      <color theme="4" tint="-0.249977111117893"/>
      <name val="맑은 고딕"/>
      <family val="3"/>
      <charset val="129"/>
      <scheme val="minor"/>
    </font>
    <font>
      <b/>
      <sz val="13"/>
      <color theme="4" tint="-0.249977111117893"/>
      <name val="맑은 고딕"/>
      <family val="3"/>
      <charset val="129"/>
      <scheme val="minor"/>
    </font>
    <font>
      <b/>
      <u/>
      <sz val="14"/>
      <color theme="4" tint="-0.249977111117893"/>
      <name val="맑은 고딕"/>
      <family val="3"/>
      <charset val="129"/>
      <scheme val="minor"/>
    </font>
    <font>
      <b/>
      <u val="double"/>
      <sz val="12"/>
      <color rgb="FFFF0000"/>
      <name val="맑은 고딕"/>
      <family val="3"/>
      <charset val="129"/>
      <scheme val="minor"/>
    </font>
    <font>
      <b/>
      <u val="double"/>
      <sz val="16"/>
      <color rgb="FFFF0000"/>
      <name val="맑은 고딕"/>
      <family val="3"/>
      <charset val="129"/>
      <scheme val="minor"/>
    </font>
    <font>
      <b/>
      <u/>
      <sz val="16"/>
      <color theme="4" tint="-0.249977111117893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u/>
      <sz val="12"/>
      <color rgb="FFFF0000"/>
      <name val="맑은 고딕"/>
      <family val="3"/>
      <charset val="129"/>
      <scheme val="minor"/>
    </font>
    <font>
      <b/>
      <u/>
      <sz val="11"/>
      <color theme="4" tint="-0.249977111117893"/>
      <name val="맑은 고딕"/>
      <family val="3"/>
      <charset val="129"/>
      <scheme val="minor"/>
    </font>
    <font>
      <b/>
      <u/>
      <sz val="14"/>
      <color rgb="FFFF0000"/>
      <name val="맑은 고딕"/>
      <family val="3"/>
      <charset val="129"/>
      <scheme val="minor"/>
    </font>
    <font>
      <b/>
      <u/>
      <sz val="16"/>
      <color rgb="FFFF0000"/>
      <name val="맑은 고딕"/>
      <family val="3"/>
      <charset val="129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hair">
        <color indexed="64"/>
      </bottom>
      <diagonal/>
    </border>
    <border>
      <left style="medium">
        <color theme="4" tint="-0.2499465926084170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theme="4" tint="-0.24994659260841701"/>
      </right>
      <top style="hair">
        <color indexed="64"/>
      </top>
      <bottom style="hair">
        <color indexed="64"/>
      </bottom>
      <diagonal/>
    </border>
    <border>
      <left style="medium">
        <color theme="4" tint="-0.24994659260841701"/>
      </left>
      <right style="hair">
        <color indexed="64"/>
      </right>
      <top style="hair">
        <color indexed="64"/>
      </top>
      <bottom style="medium">
        <color theme="4" tint="-0.2499465926084170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theme="4" tint="-0.24994659260841701"/>
      </bottom>
      <diagonal/>
    </border>
    <border>
      <left style="hair">
        <color indexed="64"/>
      </left>
      <right style="medium">
        <color theme="4" tint="-0.24994659260841701"/>
      </right>
      <top style="hair">
        <color indexed="64"/>
      </top>
      <bottom style="medium">
        <color theme="4" tint="-0.24994659260841701"/>
      </bottom>
      <diagonal/>
    </border>
    <border>
      <left style="medium">
        <color theme="4" tint="-0.24994659260841701"/>
      </left>
      <right/>
      <top/>
      <bottom/>
      <diagonal/>
    </border>
    <border>
      <left/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theme="4" tint="-0.24994659260841701"/>
      </right>
      <top/>
      <bottom style="hair">
        <color indexed="64"/>
      </bottom>
      <diagonal/>
    </border>
    <border>
      <left style="hair">
        <color indexed="64"/>
      </left>
      <right style="medium">
        <color theme="4" tint="-0.24994659260841701"/>
      </right>
      <top style="medium">
        <color theme="4" tint="-0.24994659260841701"/>
      </top>
      <bottom style="hair">
        <color indexed="64"/>
      </bottom>
      <diagonal/>
    </border>
    <border>
      <left/>
      <right style="hair">
        <color indexed="64"/>
      </right>
      <top style="medium">
        <color theme="4" tint="-0.2499465926084170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theme="4" tint="-0.2499465926084170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/>
      <bottom/>
      <diagonal/>
    </border>
    <border>
      <left/>
      <right/>
      <top/>
      <bottom style="medium">
        <color theme="4" tint="-0.24994659260841701"/>
      </bottom>
      <diagonal/>
    </border>
    <border>
      <left style="hair">
        <color auto="1"/>
      </left>
      <right/>
      <top/>
      <bottom style="medium">
        <color theme="4" tint="-0.24994659260841701"/>
      </bottom>
      <diagonal/>
    </border>
    <border>
      <left/>
      <right/>
      <top style="medium">
        <color theme="4" tint="-0.24994659260841701"/>
      </top>
      <bottom style="medium">
        <color theme="0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/>
      <top style="hair">
        <color indexed="64"/>
      </top>
      <bottom style="hair">
        <color indexed="64"/>
      </bottom>
      <diagonal/>
    </border>
    <border>
      <left style="medium">
        <color theme="4" tint="-0.24994659260841701"/>
      </left>
      <right/>
      <top style="hair">
        <color indexed="64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hair">
        <color indexed="64"/>
      </right>
      <top style="medium">
        <color theme="4" tint="-0.24994659260841701"/>
      </top>
      <bottom style="medium">
        <color theme="4" tint="-0.24994659260841701"/>
      </bottom>
      <diagonal/>
    </border>
    <border>
      <left style="hair">
        <color indexed="64"/>
      </left>
      <right style="hair">
        <color indexed="64"/>
      </right>
      <top style="medium">
        <color theme="4" tint="-0.24994659260841701"/>
      </top>
      <bottom style="medium">
        <color theme="4" tint="-0.24994659260841701"/>
      </bottom>
      <diagonal/>
    </border>
    <border>
      <left style="hair">
        <color indexed="64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theme="4" tint="-0.24994659260841701"/>
      </bottom>
      <diagonal/>
    </border>
    <border>
      <left style="hair">
        <color indexed="64"/>
      </left>
      <right/>
      <top style="medium">
        <color theme="4" tint="-0.24994659260841701"/>
      </top>
      <bottom style="hair">
        <color indexed="64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hair">
        <color indexed="64"/>
      </bottom>
      <diagonal/>
    </border>
    <border>
      <left style="medium">
        <color theme="4" tint="-0.24994659260841701"/>
      </left>
      <right style="medium">
        <color theme="4" tint="-0.24994659260841701"/>
      </right>
      <top style="hair">
        <color indexed="64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/>
      <bottom style="hair">
        <color indexed="64"/>
      </bottom>
      <diagonal/>
    </border>
    <border>
      <left style="medium">
        <color theme="4" tint="-0.24994659260841701"/>
      </left>
      <right style="medium">
        <color theme="4" tint="-0.24994659260841701"/>
      </right>
      <top style="hair">
        <color indexed="64"/>
      </top>
      <bottom style="hair">
        <color indexed="64"/>
      </bottom>
      <diagonal/>
    </border>
    <border>
      <left style="medium">
        <color theme="4" tint="-0.24994659260841701"/>
      </left>
      <right style="hair">
        <color indexed="64"/>
      </right>
      <top style="hair">
        <color theme="4" tint="-0.2499465926084170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theme="4" tint="-0.24994659260841701"/>
      </top>
      <bottom style="hair">
        <color indexed="64"/>
      </bottom>
      <diagonal/>
    </border>
    <border>
      <left style="hair">
        <color indexed="64"/>
      </left>
      <right style="medium">
        <color theme="4" tint="-0.24994659260841701"/>
      </right>
      <top style="hair">
        <color theme="4" tint="-0.24994659260841701"/>
      </top>
      <bottom style="hair">
        <color indexed="64"/>
      </bottom>
      <diagonal/>
    </border>
    <border>
      <left/>
      <right style="hair">
        <color indexed="64"/>
      </right>
      <top style="hair">
        <color theme="4" tint="-0.24994659260841701"/>
      </top>
      <bottom style="hair">
        <color indexed="64"/>
      </bottom>
      <diagonal/>
    </border>
    <border>
      <left style="medium">
        <color theme="4" tint="-0.24994659260841701"/>
      </left>
      <right style="hair">
        <color indexed="64"/>
      </right>
      <top style="hair">
        <color theme="4" tint="-0.24994659260841701"/>
      </top>
      <bottom style="medium">
        <color theme="4" tint="-0.24994659260841701"/>
      </bottom>
      <diagonal/>
    </border>
    <border>
      <left style="hair">
        <color indexed="64"/>
      </left>
      <right style="hair">
        <color indexed="64"/>
      </right>
      <top style="hair">
        <color theme="4" tint="-0.24994659260841701"/>
      </top>
      <bottom style="medium">
        <color theme="4" tint="-0.24994659260841701"/>
      </bottom>
      <diagonal/>
    </border>
    <border>
      <left style="hair">
        <color indexed="64"/>
      </left>
      <right style="medium">
        <color theme="4" tint="-0.24994659260841701"/>
      </right>
      <top style="hair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hair">
        <color theme="4" tint="-0.24994659260841701"/>
      </top>
      <bottom style="hair">
        <color indexed="64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 style="hair">
        <color theme="4" tint="-0.24994659260841701"/>
      </left>
      <right style="hair">
        <color indexed="64"/>
      </right>
      <top style="medium">
        <color theme="4" tint="-0.24994659260841701"/>
      </top>
      <bottom style="hair">
        <color indexed="64"/>
      </bottom>
      <diagonal/>
    </border>
    <border>
      <left style="hair">
        <color theme="4" tint="-0.24994659260841701"/>
      </left>
      <right style="hair">
        <color indexed="64"/>
      </right>
      <top style="hair">
        <color indexed="64"/>
      </top>
      <bottom style="medium">
        <color theme="4" tint="-0.24994659260841701"/>
      </bottom>
      <diagonal/>
    </border>
    <border>
      <left/>
      <right/>
      <top style="medium">
        <color theme="4" tint="-0.24994659260841701"/>
      </top>
      <bottom style="hair">
        <color indexed="64"/>
      </bottom>
      <diagonal/>
    </border>
    <border>
      <left/>
      <right/>
      <top style="hair">
        <color indexed="64"/>
      </top>
      <bottom style="medium">
        <color theme="4" tint="-0.2499465926084170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hair">
        <color theme="4" tint="-0.24994659260841701"/>
      </bottom>
      <diagonal/>
    </border>
    <border>
      <left style="medium">
        <color theme="4" tint="-0.24994659260841701"/>
      </left>
      <right/>
      <top style="hair">
        <color theme="4" tint="-0.24994659260841701"/>
      </top>
      <bottom style="hair">
        <color indexed="64"/>
      </bottom>
      <diagonal/>
    </border>
  </borders>
  <cellStyleXfs count="5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</cellStyleXfs>
  <cellXfs count="24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14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7" fillId="4" borderId="28" xfId="0" applyFont="1" applyFill="1" applyBorder="1" applyAlignment="1">
      <alignment horizontal="center" vertical="center"/>
    </xf>
    <xf numFmtId="14" fontId="7" fillId="4" borderId="7" xfId="0" applyNumberFormat="1" applyFon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14" fontId="7" fillId="4" borderId="18" xfId="0" applyNumberFormat="1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17" fillId="4" borderId="0" xfId="0" applyFont="1" applyFill="1">
      <alignment vertical="center"/>
    </xf>
    <xf numFmtId="0" fontId="8" fillId="4" borderId="0" xfId="0" applyFont="1" applyFill="1">
      <alignment vertical="center"/>
    </xf>
    <xf numFmtId="0" fontId="20" fillId="4" borderId="0" xfId="0" applyFont="1" applyFill="1">
      <alignment vertical="center"/>
    </xf>
    <xf numFmtId="0" fontId="21" fillId="4" borderId="0" xfId="0" applyFont="1" applyFill="1">
      <alignment vertical="center"/>
    </xf>
    <xf numFmtId="0" fontId="23" fillId="4" borderId="0" xfId="0" applyFont="1" applyFill="1">
      <alignment vertical="center"/>
    </xf>
    <xf numFmtId="0" fontId="24" fillId="4" borderId="0" xfId="0" applyFont="1" applyFill="1">
      <alignment vertical="center"/>
    </xf>
    <xf numFmtId="0" fontId="6" fillId="4" borderId="0" xfId="0" applyFont="1" applyFill="1">
      <alignment vertical="center"/>
    </xf>
    <xf numFmtId="0" fontId="7" fillId="4" borderId="0" xfId="0" applyFont="1" applyFill="1">
      <alignment vertical="center"/>
    </xf>
    <xf numFmtId="0" fontId="0" fillId="5" borderId="0" xfId="0" applyFill="1" applyProtection="1">
      <alignment vertical="center"/>
      <protection locked="0"/>
    </xf>
    <xf numFmtId="0" fontId="0" fillId="5" borderId="0" xfId="0" applyFill="1" applyAlignment="1" applyProtection="1">
      <alignment horizontal="center" vertical="center"/>
      <protection locked="0"/>
    </xf>
    <xf numFmtId="41" fontId="0" fillId="5" borderId="0" xfId="1" applyFont="1" applyFill="1" applyProtection="1">
      <alignment vertical="center"/>
      <protection locked="0"/>
    </xf>
    <xf numFmtId="176" fontId="0" fillId="5" borderId="0" xfId="1" applyNumberFormat="1" applyFont="1" applyFill="1" applyProtection="1">
      <alignment vertical="center"/>
      <protection locked="0"/>
    </xf>
    <xf numFmtId="0" fontId="0" fillId="2" borderId="0" xfId="0" applyFill="1" applyProtection="1">
      <alignment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41" fontId="0" fillId="2" borderId="0" xfId="1" applyFont="1" applyFill="1" applyProtection="1">
      <alignment vertical="center"/>
      <protection locked="0"/>
    </xf>
    <xf numFmtId="176" fontId="0" fillId="2" borderId="0" xfId="1" applyNumberFormat="1" applyFont="1" applyFill="1" applyProtection="1">
      <alignment vertical="center"/>
      <protection locked="0"/>
    </xf>
    <xf numFmtId="0" fontId="0" fillId="2" borderId="33" xfId="0" applyFill="1" applyBorder="1" applyProtection="1">
      <alignment vertical="center"/>
      <protection locked="0"/>
    </xf>
    <xf numFmtId="0" fontId="0" fillId="2" borderId="34" xfId="0" applyFill="1" applyBorder="1" applyProtection="1">
      <alignment vertical="center"/>
      <protection locked="0"/>
    </xf>
    <xf numFmtId="176" fontId="0" fillId="2" borderId="34" xfId="1" applyNumberFormat="1" applyFont="1" applyFill="1" applyBorder="1" applyProtection="1">
      <alignment vertical="center"/>
      <protection locked="0"/>
    </xf>
    <xf numFmtId="0" fontId="0" fillId="2" borderId="35" xfId="0" applyFill="1" applyBorder="1" applyProtection="1">
      <alignment vertical="center"/>
      <protection locked="0"/>
    </xf>
    <xf numFmtId="0" fontId="0" fillId="4" borderId="0" xfId="0" applyFill="1" applyProtection="1">
      <alignment vertical="center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41" fontId="0" fillId="4" borderId="0" xfId="1" applyFont="1" applyFill="1" applyProtection="1">
      <alignment vertical="center"/>
      <protection locked="0"/>
    </xf>
    <xf numFmtId="176" fontId="0" fillId="4" borderId="0" xfId="1" applyNumberFormat="1" applyFont="1" applyFill="1" applyProtection="1">
      <alignment vertical="center"/>
      <protection locked="0"/>
    </xf>
    <xf numFmtId="176" fontId="0" fillId="5" borderId="0" xfId="1" applyNumberFormat="1" applyFont="1" applyFill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13" fillId="7" borderId="38" xfId="0" applyFont="1" applyFill="1" applyBorder="1" applyAlignment="1" applyProtection="1">
      <alignment horizontal="center" vertical="center"/>
      <protection locked="0"/>
    </xf>
    <xf numFmtId="0" fontId="13" fillId="7" borderId="39" xfId="0" applyFont="1" applyFill="1" applyBorder="1" applyAlignment="1" applyProtection="1">
      <alignment horizontal="center" vertical="center"/>
      <protection locked="0"/>
    </xf>
    <xf numFmtId="0" fontId="13" fillId="7" borderId="40" xfId="0" applyFont="1" applyFill="1" applyBorder="1" applyAlignment="1" applyProtection="1">
      <alignment horizontal="center" vertical="center"/>
      <protection locked="0"/>
    </xf>
    <xf numFmtId="0" fontId="7" fillId="7" borderId="14" xfId="0" applyFont="1" applyFill="1" applyBorder="1" applyAlignment="1" applyProtection="1">
      <alignment horizontal="center" vertical="center"/>
      <protection locked="0"/>
    </xf>
    <xf numFmtId="41" fontId="4" fillId="4" borderId="22" xfId="1" applyFont="1" applyFill="1" applyBorder="1" applyAlignment="1" applyProtection="1">
      <alignment horizontal="center" vertical="center"/>
      <protection locked="0"/>
    </xf>
    <xf numFmtId="38" fontId="4" fillId="4" borderId="23" xfId="1" applyNumberFormat="1" applyFont="1" applyFill="1" applyBorder="1" applyAlignment="1" applyProtection="1">
      <alignment horizontal="center" vertical="center"/>
      <protection locked="0"/>
    </xf>
    <xf numFmtId="0" fontId="6" fillId="4" borderId="10" xfId="1" applyNumberFormat="1" applyFont="1" applyFill="1" applyBorder="1" applyAlignment="1" applyProtection="1">
      <alignment horizontal="left" vertical="center" wrapText="1"/>
      <protection locked="0"/>
    </xf>
    <xf numFmtId="0" fontId="6" fillId="4" borderId="23" xfId="1" applyNumberFormat="1" applyFont="1" applyFill="1" applyBorder="1" applyAlignment="1" applyProtection="1">
      <alignment horizontal="left" vertical="center" wrapText="1"/>
      <protection locked="0"/>
    </xf>
    <xf numFmtId="0" fontId="6" fillId="4" borderId="8" xfId="1" applyNumberFormat="1" applyFont="1" applyFill="1" applyBorder="1" applyAlignment="1" applyProtection="1">
      <alignment horizontal="left" vertical="center" wrapText="1"/>
      <protection locked="0"/>
    </xf>
    <xf numFmtId="0" fontId="7" fillId="4" borderId="46" xfId="1" applyNumberFormat="1" applyFont="1" applyFill="1" applyBorder="1" applyAlignment="1" applyProtection="1">
      <alignment horizontal="center" vertical="center"/>
      <protection locked="0"/>
    </xf>
    <xf numFmtId="0" fontId="7" fillId="7" borderId="36" xfId="0" applyFont="1" applyFill="1" applyBorder="1" applyAlignment="1" applyProtection="1">
      <alignment horizontal="center" vertical="center"/>
      <protection locked="0"/>
    </xf>
    <xf numFmtId="41" fontId="4" fillId="4" borderId="15" xfId="1" applyFont="1" applyFill="1" applyBorder="1" applyAlignment="1" applyProtection="1">
      <alignment horizontal="center" vertical="center"/>
      <protection locked="0"/>
    </xf>
    <xf numFmtId="38" fontId="4" fillId="4" borderId="7" xfId="1" applyNumberFormat="1" applyFont="1" applyFill="1" applyBorder="1" applyAlignment="1" applyProtection="1">
      <alignment horizontal="center" vertical="center"/>
      <protection locked="0"/>
    </xf>
    <xf numFmtId="0" fontId="6" fillId="4" borderId="28" xfId="1" applyNumberFormat="1" applyFont="1" applyFill="1" applyBorder="1" applyAlignment="1" applyProtection="1">
      <alignment horizontal="left" vertical="center" wrapText="1"/>
      <protection locked="0"/>
    </xf>
    <xf numFmtId="0" fontId="6" fillId="4" borderId="7" xfId="1" applyNumberFormat="1" applyFont="1" applyFill="1" applyBorder="1" applyAlignment="1" applyProtection="1">
      <alignment horizontal="left" vertical="center" wrapText="1"/>
      <protection locked="0"/>
    </xf>
    <xf numFmtId="0" fontId="6" fillId="4" borderId="41" xfId="1" applyNumberFormat="1" applyFont="1" applyFill="1" applyBorder="1" applyAlignment="1" applyProtection="1">
      <alignment horizontal="left" vertical="center" wrapText="1"/>
      <protection locked="0"/>
    </xf>
    <xf numFmtId="0" fontId="7" fillId="4" borderId="47" xfId="1" applyNumberFormat="1" applyFont="1" applyFill="1" applyBorder="1" applyAlignment="1" applyProtection="1">
      <alignment horizontal="center" vertical="center"/>
      <protection locked="0"/>
    </xf>
    <xf numFmtId="0" fontId="6" fillId="4" borderId="28" xfId="0" applyFont="1" applyFill="1" applyBorder="1" applyAlignment="1" applyProtection="1">
      <alignment horizontal="left" vertical="center" wrapText="1"/>
      <protection locked="0"/>
    </xf>
    <xf numFmtId="0" fontId="6" fillId="4" borderId="7" xfId="0" applyFont="1" applyFill="1" applyBorder="1" applyAlignment="1" applyProtection="1">
      <alignment horizontal="left" vertical="center" wrapText="1"/>
      <protection locked="0"/>
    </xf>
    <xf numFmtId="0" fontId="6" fillId="4" borderId="41" xfId="0" applyFont="1" applyFill="1" applyBorder="1" applyAlignment="1" applyProtection="1">
      <alignment horizontal="left" vertical="center" wrapText="1"/>
      <protection locked="0"/>
    </xf>
    <xf numFmtId="0" fontId="7" fillId="4" borderId="47" xfId="0" applyFont="1" applyFill="1" applyBorder="1" applyAlignment="1" applyProtection="1">
      <alignment horizontal="center" vertical="center"/>
      <protection locked="0"/>
    </xf>
    <xf numFmtId="41" fontId="4" fillId="4" borderId="15" xfId="1" applyFont="1" applyFill="1" applyBorder="1" applyProtection="1">
      <alignment vertical="center"/>
      <protection locked="0"/>
    </xf>
    <xf numFmtId="38" fontId="4" fillId="4" borderId="7" xfId="1" applyNumberFormat="1" applyFont="1" applyFill="1" applyBorder="1" applyProtection="1">
      <alignment vertical="center"/>
      <protection locked="0"/>
    </xf>
    <xf numFmtId="0" fontId="6" fillId="4" borderId="28" xfId="0" applyFont="1" applyFill="1" applyBorder="1" applyAlignment="1" applyProtection="1">
      <alignment vertical="center" wrapText="1"/>
      <protection locked="0"/>
    </xf>
    <xf numFmtId="0" fontId="6" fillId="4" borderId="7" xfId="0" applyFont="1" applyFill="1" applyBorder="1" applyAlignment="1" applyProtection="1">
      <alignment vertical="center" wrapText="1"/>
      <protection locked="0"/>
    </xf>
    <xf numFmtId="0" fontId="6" fillId="4" borderId="41" xfId="0" applyFont="1" applyFill="1" applyBorder="1" applyAlignment="1" applyProtection="1">
      <alignment vertical="center" wrapText="1"/>
      <protection locked="0"/>
    </xf>
    <xf numFmtId="0" fontId="7" fillId="4" borderId="47" xfId="0" applyFont="1" applyFill="1" applyBorder="1" applyProtection="1">
      <alignment vertical="center"/>
      <protection locked="0"/>
    </xf>
    <xf numFmtId="0" fontId="7" fillId="7" borderId="37" xfId="0" applyFont="1" applyFill="1" applyBorder="1" applyAlignment="1" applyProtection="1">
      <alignment horizontal="center" vertical="center"/>
      <protection locked="0"/>
    </xf>
    <xf numFmtId="41" fontId="4" fillId="4" borderId="17" xfId="1" applyFont="1" applyFill="1" applyBorder="1" applyProtection="1">
      <alignment vertical="center"/>
      <protection locked="0"/>
    </xf>
    <xf numFmtId="38" fontId="4" fillId="4" borderId="18" xfId="1" applyNumberFormat="1" applyFont="1" applyFill="1" applyBorder="1" applyProtection="1">
      <alignment vertical="center"/>
      <protection locked="0"/>
    </xf>
    <xf numFmtId="0" fontId="6" fillId="4" borderId="27" xfId="0" applyFont="1" applyFill="1" applyBorder="1" applyAlignment="1" applyProtection="1">
      <alignment vertical="center" wrapText="1"/>
      <protection locked="0"/>
    </xf>
    <xf numFmtId="0" fontId="6" fillId="4" borderId="18" xfId="0" applyFont="1" applyFill="1" applyBorder="1" applyAlignment="1" applyProtection="1">
      <alignment vertical="center" wrapText="1"/>
      <protection locked="0"/>
    </xf>
    <xf numFmtId="0" fontId="6" fillId="4" borderId="42" xfId="0" applyFont="1" applyFill="1" applyBorder="1" applyAlignment="1" applyProtection="1">
      <alignment vertical="center" wrapText="1"/>
      <protection locked="0"/>
    </xf>
    <xf numFmtId="0" fontId="7" fillId="4" borderId="45" xfId="0" applyFont="1" applyFill="1" applyBorder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1" fontId="0" fillId="0" borderId="0" xfId="1" applyFont="1" applyProtection="1">
      <alignment vertical="center"/>
      <protection locked="0"/>
    </xf>
    <xf numFmtId="176" fontId="0" fillId="0" borderId="0" xfId="1" applyNumberFormat="1" applyFont="1" applyProtection="1">
      <alignment vertical="center"/>
      <protection locked="0"/>
    </xf>
    <xf numFmtId="41" fontId="7" fillId="7" borderId="22" xfId="1" applyFont="1" applyFill="1" applyBorder="1" applyAlignment="1" applyProtection="1">
      <alignment horizontal="center" vertical="center"/>
    </xf>
    <xf numFmtId="41" fontId="7" fillId="7" borderId="23" xfId="1" applyFont="1" applyFill="1" applyBorder="1" applyAlignment="1" applyProtection="1">
      <alignment horizontal="center" vertical="center"/>
    </xf>
    <xf numFmtId="14" fontId="7" fillId="7" borderId="23" xfId="1" applyNumberFormat="1" applyFont="1" applyFill="1" applyBorder="1" applyAlignment="1" applyProtection="1">
      <alignment horizontal="center" vertical="center"/>
    </xf>
    <xf numFmtId="14" fontId="7" fillId="7" borderId="24" xfId="1" applyNumberFormat="1" applyFont="1" applyFill="1" applyBorder="1" applyAlignment="1" applyProtection="1">
      <alignment horizontal="center" vertical="center"/>
    </xf>
    <xf numFmtId="41" fontId="7" fillId="7" borderId="15" xfId="1" applyFont="1" applyFill="1" applyBorder="1" applyAlignment="1" applyProtection="1">
      <alignment horizontal="center" vertical="center"/>
    </xf>
    <xf numFmtId="41" fontId="7" fillId="7" borderId="7" xfId="1" applyFont="1" applyFill="1" applyBorder="1" applyAlignment="1" applyProtection="1">
      <alignment horizontal="center" vertical="center"/>
    </xf>
    <xf numFmtId="14" fontId="7" fillId="7" borderId="7" xfId="1" applyNumberFormat="1" applyFont="1" applyFill="1" applyBorder="1" applyAlignment="1" applyProtection="1">
      <alignment horizontal="center" vertical="center"/>
    </xf>
    <xf numFmtId="14" fontId="7" fillId="7" borderId="16" xfId="1" applyNumberFormat="1" applyFont="1" applyFill="1" applyBorder="1" applyAlignment="1" applyProtection="1">
      <alignment horizontal="center" vertical="center"/>
    </xf>
    <xf numFmtId="41" fontId="7" fillId="7" borderId="17" xfId="1" applyFont="1" applyFill="1" applyBorder="1" applyAlignment="1" applyProtection="1">
      <alignment horizontal="center" vertical="center"/>
    </xf>
    <xf numFmtId="41" fontId="7" fillId="7" borderId="18" xfId="1" applyFont="1" applyFill="1" applyBorder="1" applyAlignment="1" applyProtection="1">
      <alignment horizontal="center" vertical="center"/>
    </xf>
    <xf numFmtId="14" fontId="7" fillId="7" borderId="18" xfId="1" applyNumberFormat="1" applyFont="1" applyFill="1" applyBorder="1" applyAlignment="1" applyProtection="1">
      <alignment horizontal="center" vertical="center"/>
    </xf>
    <xf numFmtId="14" fontId="7" fillId="7" borderId="19" xfId="1" applyNumberFormat="1" applyFont="1" applyFill="1" applyBorder="1" applyAlignment="1" applyProtection="1">
      <alignment horizontal="center" vertical="center"/>
    </xf>
    <xf numFmtId="41" fontId="4" fillId="4" borderId="24" xfId="1" applyFont="1" applyFill="1" applyBorder="1" applyAlignment="1" applyProtection="1">
      <alignment horizontal="center" vertical="center"/>
    </xf>
    <xf numFmtId="176" fontId="4" fillId="7" borderId="10" xfId="1" applyNumberFormat="1" applyFont="1" applyFill="1" applyBorder="1" applyAlignment="1" applyProtection="1">
      <alignment horizontal="center" vertical="center"/>
    </xf>
    <xf numFmtId="176" fontId="4" fillId="7" borderId="24" xfId="1" applyNumberFormat="1" applyFont="1" applyFill="1" applyBorder="1" applyAlignment="1" applyProtection="1">
      <alignment horizontal="center" vertical="center"/>
    </xf>
    <xf numFmtId="41" fontId="4" fillId="4" borderId="16" xfId="1" applyFont="1" applyFill="1" applyBorder="1" applyAlignment="1" applyProtection="1">
      <alignment horizontal="center" vertical="center"/>
    </xf>
    <xf numFmtId="176" fontId="4" fillId="7" borderId="28" xfId="1" applyNumberFormat="1" applyFont="1" applyFill="1" applyBorder="1" applyAlignment="1" applyProtection="1">
      <alignment horizontal="center" vertical="center"/>
    </xf>
    <xf numFmtId="176" fontId="4" fillId="7" borderId="16" xfId="1" applyNumberFormat="1" applyFont="1" applyFill="1" applyBorder="1" applyAlignment="1" applyProtection="1">
      <alignment horizontal="center" vertical="center"/>
    </xf>
    <xf numFmtId="41" fontId="4" fillId="4" borderId="16" xfId="1" applyFont="1" applyFill="1" applyBorder="1" applyProtection="1">
      <alignment vertical="center"/>
    </xf>
    <xf numFmtId="176" fontId="4" fillId="7" borderId="28" xfId="1" applyNumberFormat="1" applyFont="1" applyFill="1" applyBorder="1" applyProtection="1">
      <alignment vertical="center"/>
    </xf>
    <xf numFmtId="176" fontId="4" fillId="7" borderId="16" xfId="1" applyNumberFormat="1" applyFont="1" applyFill="1" applyBorder="1" applyProtection="1">
      <alignment vertical="center"/>
    </xf>
    <xf numFmtId="41" fontId="4" fillId="4" borderId="19" xfId="1" applyFont="1" applyFill="1" applyBorder="1" applyProtection="1">
      <alignment vertical="center"/>
    </xf>
    <xf numFmtId="176" fontId="4" fillId="7" borderId="27" xfId="1" applyNumberFormat="1" applyFont="1" applyFill="1" applyBorder="1" applyProtection="1">
      <alignment vertical="center"/>
    </xf>
    <xf numFmtId="176" fontId="4" fillId="7" borderId="19" xfId="1" applyNumberFormat="1" applyFont="1" applyFill="1" applyBorder="1" applyProtection="1">
      <alignment vertical="center"/>
    </xf>
    <xf numFmtId="176" fontId="7" fillId="4" borderId="14" xfId="1" applyNumberFormat="1" applyFont="1" applyFill="1" applyBorder="1" applyAlignment="1" applyProtection="1">
      <alignment horizontal="center" vertical="center"/>
    </xf>
    <xf numFmtId="176" fontId="7" fillId="4" borderId="36" xfId="1" applyNumberFormat="1" applyFont="1" applyFill="1" applyBorder="1" applyAlignment="1" applyProtection="1">
      <alignment horizontal="center" vertical="center"/>
    </xf>
    <xf numFmtId="176" fontId="7" fillId="4" borderId="36" xfId="1" applyNumberFormat="1" applyFont="1" applyFill="1" applyBorder="1" applyProtection="1">
      <alignment vertical="center"/>
    </xf>
    <xf numFmtId="176" fontId="7" fillId="4" borderId="37" xfId="1" applyNumberFormat="1" applyFont="1" applyFill="1" applyBorder="1" applyProtection="1">
      <alignment vertical="center"/>
    </xf>
    <xf numFmtId="176" fontId="7" fillId="4" borderId="46" xfId="1" applyNumberFormat="1" applyFont="1" applyFill="1" applyBorder="1" applyAlignment="1" applyProtection="1">
      <alignment horizontal="center" vertical="center"/>
      <protection locked="0"/>
    </xf>
    <xf numFmtId="176" fontId="7" fillId="4" borderId="47" xfId="1" applyNumberFormat="1" applyFont="1" applyFill="1" applyBorder="1" applyAlignment="1" applyProtection="1">
      <alignment horizontal="center" vertical="center"/>
      <protection locked="0"/>
    </xf>
    <xf numFmtId="176" fontId="7" fillId="4" borderId="47" xfId="1" applyNumberFormat="1" applyFont="1" applyFill="1" applyBorder="1" applyProtection="1">
      <alignment vertical="center"/>
      <protection locked="0"/>
    </xf>
    <xf numFmtId="176" fontId="7" fillId="4" borderId="45" xfId="1" applyNumberFormat="1" applyFont="1" applyFill="1" applyBorder="1" applyProtection="1">
      <alignment vertical="center"/>
      <protection locked="0"/>
    </xf>
    <xf numFmtId="0" fontId="7" fillId="7" borderId="0" xfId="0" applyFont="1" applyFill="1">
      <alignment vertical="center"/>
    </xf>
    <xf numFmtId="0" fontId="0" fillId="7" borderId="0" xfId="0" applyFill="1">
      <alignment vertical="center"/>
    </xf>
    <xf numFmtId="0" fontId="6" fillId="7" borderId="0" xfId="0" applyFont="1" applyFill="1">
      <alignment vertical="center"/>
    </xf>
    <xf numFmtId="0" fontId="14" fillId="4" borderId="0" xfId="0" applyFont="1" applyFill="1" applyProtection="1">
      <alignment vertical="center"/>
      <protection locked="0"/>
    </xf>
    <xf numFmtId="0" fontId="7" fillId="4" borderId="6" xfId="0" applyFont="1" applyFill="1" applyBorder="1" applyProtection="1">
      <alignment vertical="center"/>
      <protection locked="0"/>
    </xf>
    <xf numFmtId="0" fontId="7" fillId="4" borderId="4" xfId="0" applyFont="1" applyFill="1" applyBorder="1" applyProtection="1">
      <alignment vertical="center"/>
      <protection locked="0"/>
    </xf>
    <xf numFmtId="0" fontId="7" fillId="4" borderId="5" xfId="0" applyFont="1" applyFill="1" applyBorder="1" applyProtection="1">
      <alignment vertical="center"/>
      <protection locked="0"/>
    </xf>
    <xf numFmtId="14" fontId="7" fillId="7" borderId="8" xfId="1" applyNumberFormat="1" applyFont="1" applyFill="1" applyBorder="1" applyAlignment="1" applyProtection="1">
      <alignment horizontal="center" vertical="center"/>
    </xf>
    <xf numFmtId="41" fontId="4" fillId="4" borderId="44" xfId="1" applyFont="1" applyFill="1" applyBorder="1" applyAlignment="1" applyProtection="1">
      <alignment horizontal="center" vertical="center"/>
    </xf>
    <xf numFmtId="176" fontId="4" fillId="4" borderId="10" xfId="1" applyNumberFormat="1" applyFont="1" applyFill="1" applyBorder="1" applyAlignment="1" applyProtection="1">
      <alignment horizontal="center" vertical="center"/>
    </xf>
    <xf numFmtId="176" fontId="4" fillId="4" borderId="24" xfId="1" applyNumberFormat="1" applyFont="1" applyFill="1" applyBorder="1" applyAlignment="1" applyProtection="1">
      <alignment horizontal="center" vertical="center"/>
    </xf>
    <xf numFmtId="41" fontId="6" fillId="4" borderId="10" xfId="1" applyFont="1" applyFill="1" applyBorder="1" applyAlignment="1" applyProtection="1">
      <alignment horizontal="left" vertical="center" wrapText="1"/>
    </xf>
    <xf numFmtId="41" fontId="6" fillId="4" borderId="23" xfId="1" applyFont="1" applyFill="1" applyBorder="1" applyAlignment="1" applyProtection="1">
      <alignment horizontal="left" vertical="center" wrapText="1"/>
    </xf>
    <xf numFmtId="41" fontId="6" fillId="4" borderId="8" xfId="1" applyFont="1" applyFill="1" applyBorder="1" applyAlignment="1" applyProtection="1">
      <alignment horizontal="left" vertical="center" wrapText="1"/>
    </xf>
    <xf numFmtId="14" fontId="7" fillId="7" borderId="41" xfId="1" applyNumberFormat="1" applyFont="1" applyFill="1" applyBorder="1" applyAlignment="1" applyProtection="1">
      <alignment horizontal="center" vertical="center"/>
    </xf>
    <xf numFmtId="41" fontId="4" fillId="4" borderId="47" xfId="1" applyFont="1" applyFill="1" applyBorder="1" applyAlignment="1" applyProtection="1">
      <alignment horizontal="center" vertical="center"/>
    </xf>
    <xf numFmtId="176" fontId="4" fillId="4" borderId="28" xfId="1" applyNumberFormat="1" applyFont="1" applyFill="1" applyBorder="1" applyAlignment="1" applyProtection="1">
      <alignment horizontal="center" vertical="center"/>
    </xf>
    <xf numFmtId="176" fontId="4" fillId="4" borderId="16" xfId="1" applyNumberFormat="1" applyFont="1" applyFill="1" applyBorder="1" applyAlignment="1" applyProtection="1">
      <alignment horizontal="center" vertical="center"/>
    </xf>
    <xf numFmtId="41" fontId="6" fillId="4" borderId="28" xfId="1" applyFont="1" applyFill="1" applyBorder="1" applyAlignment="1" applyProtection="1">
      <alignment horizontal="left" vertical="center" wrapText="1"/>
    </xf>
    <xf numFmtId="41" fontId="6" fillId="4" borderId="7" xfId="1" applyFont="1" applyFill="1" applyBorder="1" applyAlignment="1" applyProtection="1">
      <alignment horizontal="left" vertical="center" wrapText="1"/>
    </xf>
    <xf numFmtId="41" fontId="6" fillId="4" borderId="41" xfId="1" applyFont="1" applyFill="1" applyBorder="1" applyAlignment="1" applyProtection="1">
      <alignment horizontal="left" vertical="center" wrapText="1"/>
    </xf>
    <xf numFmtId="41" fontId="4" fillId="4" borderId="47" xfId="1" applyFont="1" applyFill="1" applyBorder="1" applyProtection="1">
      <alignment vertical="center"/>
    </xf>
    <xf numFmtId="176" fontId="4" fillId="4" borderId="28" xfId="1" applyNumberFormat="1" applyFont="1" applyFill="1" applyBorder="1" applyProtection="1">
      <alignment vertical="center"/>
    </xf>
    <xf numFmtId="176" fontId="4" fillId="4" borderId="16" xfId="1" applyNumberFormat="1" applyFont="1" applyFill="1" applyBorder="1" applyProtection="1">
      <alignment vertical="center"/>
    </xf>
    <xf numFmtId="41" fontId="6" fillId="4" borderId="28" xfId="1" applyFont="1" applyFill="1" applyBorder="1" applyAlignment="1" applyProtection="1">
      <alignment vertical="center" wrapText="1"/>
    </xf>
    <xf numFmtId="41" fontId="6" fillId="4" borderId="7" xfId="1" applyFont="1" applyFill="1" applyBorder="1" applyAlignment="1" applyProtection="1">
      <alignment vertical="center" wrapText="1"/>
    </xf>
    <xf numFmtId="41" fontId="6" fillId="4" borderId="41" xfId="1" applyFont="1" applyFill="1" applyBorder="1" applyAlignment="1" applyProtection="1">
      <alignment vertical="center" wrapText="1"/>
    </xf>
    <xf numFmtId="14" fontId="7" fillId="7" borderId="42" xfId="1" applyNumberFormat="1" applyFont="1" applyFill="1" applyBorder="1" applyAlignment="1" applyProtection="1">
      <alignment horizontal="center" vertical="center"/>
    </xf>
    <xf numFmtId="41" fontId="4" fillId="4" borderId="45" xfId="1" applyFont="1" applyFill="1" applyBorder="1" applyProtection="1">
      <alignment vertical="center"/>
    </xf>
    <xf numFmtId="176" fontId="4" fillId="4" borderId="27" xfId="1" applyNumberFormat="1" applyFont="1" applyFill="1" applyBorder="1" applyProtection="1">
      <alignment vertical="center"/>
    </xf>
    <xf numFmtId="176" fontId="4" fillId="4" borderId="19" xfId="1" applyNumberFormat="1" applyFont="1" applyFill="1" applyBorder="1" applyProtection="1">
      <alignment vertical="center"/>
    </xf>
    <xf numFmtId="41" fontId="6" fillId="4" borderId="27" xfId="1" applyFont="1" applyFill="1" applyBorder="1" applyAlignment="1" applyProtection="1">
      <alignment vertical="center" wrapText="1"/>
    </xf>
    <xf numFmtId="41" fontId="6" fillId="4" borderId="18" xfId="1" applyFont="1" applyFill="1" applyBorder="1" applyAlignment="1" applyProtection="1">
      <alignment vertical="center" wrapText="1"/>
    </xf>
    <xf numFmtId="41" fontId="6" fillId="4" borderId="42" xfId="1" applyFont="1" applyFill="1" applyBorder="1" applyAlignment="1" applyProtection="1">
      <alignment vertical="center" wrapText="1"/>
    </xf>
    <xf numFmtId="0" fontId="26" fillId="4" borderId="0" xfId="0" applyFont="1" applyFill="1">
      <alignment vertical="center"/>
    </xf>
    <xf numFmtId="0" fontId="27" fillId="2" borderId="34" xfId="0" applyFont="1" applyFill="1" applyBorder="1" applyProtection="1">
      <alignment vertical="center"/>
      <protection locked="0"/>
    </xf>
    <xf numFmtId="0" fontId="16" fillId="4" borderId="0" xfId="0" applyFont="1" applyFill="1">
      <alignment vertical="center"/>
    </xf>
    <xf numFmtId="0" fontId="14" fillId="4" borderId="0" xfId="0" applyFont="1" applyFill="1">
      <alignment vertical="center"/>
    </xf>
    <xf numFmtId="0" fontId="15" fillId="7" borderId="38" xfId="0" applyFont="1" applyFill="1" applyBorder="1" applyAlignment="1">
      <alignment horizontal="center" vertical="center"/>
    </xf>
    <xf numFmtId="0" fontId="15" fillId="7" borderId="39" xfId="0" applyFont="1" applyFill="1" applyBorder="1" applyAlignment="1">
      <alignment horizontal="center" vertical="center"/>
    </xf>
    <xf numFmtId="0" fontId="15" fillId="7" borderId="40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7" borderId="62" xfId="0" applyFont="1" applyFill="1" applyBorder="1" applyAlignment="1">
      <alignment horizontal="center" vertical="center"/>
    </xf>
    <xf numFmtId="0" fontId="7" fillId="7" borderId="61" xfId="0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0" fontId="7" fillId="4" borderId="47" xfId="1" applyNumberFormat="1" applyFont="1" applyFill="1" applyBorder="1" applyAlignment="1" applyProtection="1">
      <alignment horizontal="center" vertical="center" wrapText="1"/>
      <protection locked="0"/>
    </xf>
    <xf numFmtId="14" fontId="0" fillId="0" borderId="0" xfId="0" applyNumberFormat="1">
      <alignment vertical="center"/>
    </xf>
    <xf numFmtId="0" fontId="7" fillId="7" borderId="29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7" borderId="31" xfId="0" applyFont="1" applyFill="1" applyBorder="1" applyAlignment="1">
      <alignment horizontal="center" vertical="center" wrapText="1"/>
    </xf>
    <xf numFmtId="0" fontId="7" fillId="7" borderId="30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7" fillId="7" borderId="30" xfId="0" applyFont="1" applyFill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2" fillId="5" borderId="20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8" fillId="7" borderId="29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6" borderId="48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5" fillId="6" borderId="49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5" fillId="6" borderId="50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14" fontId="5" fillId="6" borderId="49" xfId="0" applyNumberFormat="1" applyFont="1" applyFill="1" applyBorder="1" applyAlignment="1">
      <alignment horizontal="center" vertical="center"/>
    </xf>
    <xf numFmtId="14" fontId="5" fillId="6" borderId="18" xfId="0" applyNumberFormat="1" applyFont="1" applyFill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176" fontId="9" fillId="6" borderId="67" xfId="1" applyNumberFormat="1" applyFont="1" applyFill="1" applyBorder="1" applyAlignment="1" applyProtection="1">
      <alignment horizontal="center" vertical="center"/>
      <protection locked="0"/>
    </xf>
    <xf numFmtId="176" fontId="9" fillId="6" borderId="37" xfId="1" applyNumberFormat="1" applyFont="1" applyFill="1" applyBorder="1" applyAlignment="1" applyProtection="1">
      <alignment horizontal="center" vertical="center"/>
      <protection locked="0"/>
    </xf>
    <xf numFmtId="176" fontId="9" fillId="6" borderId="55" xfId="1" applyNumberFormat="1" applyFont="1" applyFill="1" applyBorder="1" applyAlignment="1" applyProtection="1">
      <alignment horizontal="center" vertical="center" wrapText="1"/>
      <protection locked="0"/>
    </xf>
    <xf numFmtId="176" fontId="9" fillId="6" borderId="45" xfId="1" applyNumberFormat="1" applyFont="1" applyFill="1" applyBorder="1" applyAlignment="1" applyProtection="1">
      <alignment horizontal="center" vertical="center"/>
      <protection locked="0"/>
    </xf>
    <xf numFmtId="0" fontId="5" fillId="6" borderId="55" xfId="0" applyFont="1" applyFill="1" applyBorder="1" applyAlignment="1" applyProtection="1">
      <alignment horizontal="center" vertical="center"/>
      <protection locked="0"/>
    </xf>
    <xf numFmtId="0" fontId="5" fillId="6" borderId="45" xfId="0" applyFont="1" applyFill="1" applyBorder="1" applyAlignment="1" applyProtection="1">
      <alignment horizontal="center" vertical="center"/>
      <protection locked="0"/>
    </xf>
    <xf numFmtId="176" fontId="4" fillId="3" borderId="50" xfId="1" applyNumberFormat="1" applyFont="1" applyFill="1" applyBorder="1" applyAlignment="1" applyProtection="1">
      <alignment horizontal="center" vertical="center"/>
      <protection locked="0"/>
    </xf>
    <xf numFmtId="176" fontId="4" fillId="3" borderId="19" xfId="1" applyNumberFormat="1" applyFont="1" applyFill="1" applyBorder="1" applyAlignment="1" applyProtection="1">
      <alignment horizontal="center" vertical="center"/>
      <protection locked="0"/>
    </xf>
    <xf numFmtId="0" fontId="12" fillId="5" borderId="0" xfId="0" applyFont="1" applyFill="1" applyAlignment="1" applyProtection="1">
      <alignment horizontal="center" vertical="center"/>
      <protection locked="0"/>
    </xf>
    <xf numFmtId="0" fontId="12" fillId="5" borderId="66" xfId="0" applyFont="1" applyFill="1" applyBorder="1" applyAlignment="1" applyProtection="1">
      <alignment horizontal="center" vertical="center"/>
      <protection locked="0"/>
    </xf>
    <xf numFmtId="41" fontId="4" fillId="3" borderId="50" xfId="1" applyFont="1" applyFill="1" applyBorder="1" applyAlignment="1" applyProtection="1">
      <alignment horizontal="center" vertical="center" wrapText="1"/>
      <protection locked="0"/>
    </xf>
    <xf numFmtId="41" fontId="4" fillId="3" borderId="19" xfId="1" applyFont="1" applyFill="1" applyBorder="1" applyAlignment="1" applyProtection="1">
      <alignment horizontal="center" vertical="center" wrapText="1"/>
      <protection locked="0"/>
    </xf>
    <xf numFmtId="0" fontId="5" fillId="5" borderId="49" xfId="0" applyFont="1" applyFill="1" applyBorder="1" applyAlignment="1" applyProtection="1">
      <alignment horizontal="center" vertical="center"/>
      <protection locked="0"/>
    </xf>
    <xf numFmtId="0" fontId="5" fillId="5" borderId="18" xfId="0" applyFont="1" applyFill="1" applyBorder="1" applyAlignment="1" applyProtection="1">
      <alignment horizontal="center" vertical="center"/>
      <protection locked="0"/>
    </xf>
    <xf numFmtId="0" fontId="5" fillId="5" borderId="48" xfId="0" applyFont="1" applyFill="1" applyBorder="1" applyAlignment="1" applyProtection="1">
      <alignment horizontal="center" vertical="center"/>
      <protection locked="0"/>
    </xf>
    <xf numFmtId="0" fontId="5" fillId="5" borderId="17" xfId="0" applyFont="1" applyFill="1" applyBorder="1" applyAlignment="1" applyProtection="1">
      <alignment horizontal="center" vertical="center"/>
      <protection locked="0"/>
    </xf>
    <xf numFmtId="0" fontId="3" fillId="4" borderId="55" xfId="0" applyFont="1" applyFill="1" applyBorder="1" applyAlignment="1" applyProtection="1">
      <alignment horizontal="center" vertical="center"/>
      <protection locked="0"/>
    </xf>
    <xf numFmtId="0" fontId="3" fillId="4" borderId="45" xfId="0" applyFont="1" applyFill="1" applyBorder="1" applyAlignment="1" applyProtection="1">
      <alignment horizontal="center" vertical="center"/>
      <protection locked="0"/>
    </xf>
    <xf numFmtId="0" fontId="5" fillId="5" borderId="50" xfId="0" applyFont="1" applyFill="1" applyBorder="1" applyAlignment="1" applyProtection="1">
      <alignment horizontal="center" vertical="center"/>
      <protection locked="0"/>
    </xf>
    <xf numFmtId="0" fontId="5" fillId="5" borderId="19" xfId="0" applyFont="1" applyFill="1" applyBorder="1" applyAlignment="1" applyProtection="1">
      <alignment horizontal="center" vertical="center"/>
      <protection locked="0"/>
    </xf>
    <xf numFmtId="41" fontId="4" fillId="3" borderId="49" xfId="1" applyFont="1" applyFill="1" applyBorder="1" applyAlignment="1" applyProtection="1">
      <alignment horizontal="center" vertical="center" wrapText="1"/>
      <protection locked="0"/>
    </xf>
    <xf numFmtId="41" fontId="4" fillId="3" borderId="18" xfId="1" applyFont="1" applyFill="1" applyBorder="1" applyAlignment="1" applyProtection="1">
      <alignment horizontal="center" vertical="center"/>
      <protection locked="0"/>
    </xf>
    <xf numFmtId="41" fontId="4" fillId="3" borderId="48" xfId="1" applyFont="1" applyFill="1" applyBorder="1" applyAlignment="1" applyProtection="1">
      <alignment horizontal="center" vertical="center"/>
      <protection locked="0"/>
    </xf>
    <xf numFmtId="41" fontId="4" fillId="3" borderId="17" xfId="1" applyFont="1" applyFill="1" applyBorder="1" applyAlignment="1" applyProtection="1">
      <alignment horizontal="center" vertical="center"/>
      <protection locked="0"/>
    </xf>
    <xf numFmtId="176" fontId="4" fillId="3" borderId="51" xfId="1" applyNumberFormat="1" applyFont="1" applyFill="1" applyBorder="1" applyAlignment="1" applyProtection="1">
      <alignment horizontal="center" vertical="center"/>
      <protection locked="0"/>
    </xf>
    <xf numFmtId="176" fontId="4" fillId="3" borderId="27" xfId="1" applyNumberFormat="1" applyFont="1" applyFill="1" applyBorder="1" applyAlignment="1" applyProtection="1">
      <alignment horizontal="center" vertical="center"/>
      <protection locked="0"/>
    </xf>
    <xf numFmtId="0" fontId="5" fillId="6" borderId="52" xfId="0" applyFont="1" applyFill="1" applyBorder="1" applyAlignment="1" applyProtection="1">
      <alignment horizontal="center" vertical="center"/>
      <protection locked="0"/>
    </xf>
    <xf numFmtId="0" fontId="5" fillId="6" borderId="53" xfId="0" applyFont="1" applyFill="1" applyBorder="1" applyAlignment="1" applyProtection="1">
      <alignment horizontal="center" vertical="center"/>
      <protection locked="0"/>
    </xf>
    <xf numFmtId="0" fontId="5" fillId="6" borderId="54" xfId="0" applyFont="1" applyFill="1" applyBorder="1" applyAlignment="1" applyProtection="1">
      <alignment horizontal="center" vertical="center"/>
      <protection locked="0"/>
    </xf>
    <xf numFmtId="0" fontId="18" fillId="4" borderId="2" xfId="0" applyFont="1" applyFill="1" applyBorder="1" applyAlignment="1" applyProtection="1">
      <alignment horizontal="center" vertical="center"/>
      <protection locked="0"/>
    </xf>
    <xf numFmtId="0" fontId="18" fillId="4" borderId="64" xfId="0" applyFont="1" applyFill="1" applyBorder="1" applyAlignment="1" applyProtection="1">
      <alignment horizontal="center" vertical="center"/>
      <protection locked="0"/>
    </xf>
    <xf numFmtId="0" fontId="18" fillId="4" borderId="1" xfId="0" applyFont="1" applyFill="1" applyBorder="1" applyAlignment="1" applyProtection="1">
      <alignment horizontal="center" vertical="center"/>
      <protection locked="0"/>
    </xf>
    <xf numFmtId="0" fontId="18" fillId="4" borderId="63" xfId="0" applyFont="1" applyFill="1" applyBorder="1" applyAlignment="1" applyProtection="1">
      <alignment horizontal="center" vertical="center"/>
      <protection locked="0"/>
    </xf>
    <xf numFmtId="0" fontId="18" fillId="4" borderId="3" xfId="0" applyFont="1" applyFill="1" applyBorder="1" applyAlignment="1" applyProtection="1">
      <alignment horizontal="center" vertical="center"/>
      <protection locked="0"/>
    </xf>
    <xf numFmtId="0" fontId="18" fillId="4" borderId="65" xfId="0" applyFont="1" applyFill="1" applyBorder="1" applyAlignment="1" applyProtection="1">
      <alignment horizontal="center" vertical="center"/>
      <protection locked="0"/>
    </xf>
    <xf numFmtId="176" fontId="4" fillId="3" borderId="25" xfId="1" applyNumberFormat="1" applyFont="1" applyFill="1" applyBorder="1" applyAlignment="1" applyProtection="1">
      <alignment horizontal="center" vertical="center"/>
    </xf>
    <xf numFmtId="176" fontId="4" fillId="3" borderId="19" xfId="1" applyNumberFormat="1" applyFont="1" applyFill="1" applyBorder="1" applyAlignment="1" applyProtection="1">
      <alignment horizontal="center" vertical="center"/>
    </xf>
    <xf numFmtId="0" fontId="11" fillId="6" borderId="38" xfId="0" applyFont="1" applyFill="1" applyBorder="1" applyAlignment="1">
      <alignment horizontal="center" vertical="center"/>
    </xf>
    <xf numFmtId="0" fontId="11" fillId="6" borderId="39" xfId="0" applyFont="1" applyFill="1" applyBorder="1" applyAlignment="1">
      <alignment horizontal="center" vertical="center"/>
    </xf>
    <xf numFmtId="0" fontId="11" fillId="6" borderId="40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8" fillId="4" borderId="30" xfId="0" applyFont="1" applyFill="1" applyBorder="1" applyAlignment="1">
      <alignment horizontal="left" vertical="center"/>
    </xf>
    <xf numFmtId="0" fontId="6" fillId="6" borderId="60" xfId="0" applyFont="1" applyFill="1" applyBorder="1" applyAlignment="1">
      <alignment horizontal="center" vertical="center"/>
    </xf>
    <xf numFmtId="0" fontId="6" fillId="6" borderId="61" xfId="0" applyFont="1" applyFill="1" applyBorder="1" applyAlignment="1">
      <alignment horizontal="center" vertical="center"/>
    </xf>
    <xf numFmtId="0" fontId="10" fillId="6" borderId="58" xfId="0" applyFont="1" applyFill="1" applyBorder="1" applyAlignment="1">
      <alignment horizontal="center" vertical="center"/>
    </xf>
    <xf numFmtId="0" fontId="10" fillId="6" borderId="59" xfId="0" applyFont="1" applyFill="1" applyBorder="1" applyAlignment="1">
      <alignment horizontal="center" vertical="center"/>
    </xf>
    <xf numFmtId="0" fontId="10" fillId="6" borderId="43" xfId="0" applyFont="1" applyFill="1" applyBorder="1" applyAlignment="1">
      <alignment horizontal="center" vertical="center"/>
    </xf>
    <xf numFmtId="0" fontId="10" fillId="6" borderId="42" xfId="0" applyFont="1" applyFill="1" applyBorder="1" applyAlignment="1">
      <alignment horizontal="center" vertical="center"/>
    </xf>
    <xf numFmtId="41" fontId="4" fillId="3" borderId="56" xfId="1" applyFont="1" applyFill="1" applyBorder="1" applyAlignment="1" applyProtection="1">
      <alignment horizontal="center" vertical="center" wrapText="1"/>
    </xf>
    <xf numFmtId="41" fontId="4" fillId="3" borderId="57" xfId="1" applyFont="1" applyFill="1" applyBorder="1" applyAlignment="1" applyProtection="1">
      <alignment horizontal="center" vertical="center" wrapText="1"/>
    </xf>
    <xf numFmtId="176" fontId="4" fillId="3" borderId="26" xfId="1" applyNumberFormat="1" applyFont="1" applyFill="1" applyBorder="1" applyAlignment="1" applyProtection="1">
      <alignment horizontal="center" vertical="center"/>
    </xf>
    <xf numFmtId="176" fontId="4" fillId="3" borderId="27" xfId="1" applyNumberFormat="1" applyFont="1" applyFill="1" applyBorder="1" applyAlignment="1" applyProtection="1">
      <alignment horizontal="center" vertical="center"/>
    </xf>
  </cellXfs>
  <cellStyles count="5">
    <cellStyle name="쉼표 [0]" xfId="1" builtinId="6"/>
    <cellStyle name="표준" xfId="0" builtinId="0"/>
    <cellStyle name="표준 3" xfId="4" xr:uid="{ABB2AD0F-B22B-45C6-ACF1-2BA8421027EB}"/>
    <cellStyle name="표준 5" xfId="2" xr:uid="{BC2B67CE-5EA7-4BC7-A59C-70042AD6759A}"/>
    <cellStyle name="표준 6" xfId="3" xr:uid="{C68CF506-3221-43B0-A725-08D979CD2C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27</xdr:col>
      <xdr:colOff>81643</xdr:colOff>
      <xdr:row>6</xdr:row>
      <xdr:rowOff>27213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6B89A6D-FD80-4722-8517-234ADA845060}"/>
            </a:ext>
          </a:extLst>
        </xdr:cNvPr>
        <xdr:cNvGrpSpPr/>
      </xdr:nvGrpSpPr>
      <xdr:grpSpPr>
        <a:xfrm>
          <a:off x="0" y="0"/>
          <a:ext cx="18453191" cy="1481272"/>
          <a:chOff x="1" y="0"/>
          <a:chExt cx="11653630" cy="927651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5BA8BFCC-E344-4CB9-8F70-5A58C1E95A0D}"/>
              </a:ext>
            </a:extLst>
          </xdr:cNvPr>
          <xdr:cNvSpPr/>
        </xdr:nvSpPr>
        <xdr:spPr>
          <a:xfrm>
            <a:off x="1" y="0"/>
            <a:ext cx="11653630" cy="416608"/>
          </a:xfrm>
          <a:prstGeom prst="rect">
            <a:avLst/>
          </a:prstGeom>
          <a:solidFill>
            <a:schemeClr val="accent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9197B407-8014-4F16-B481-5F2644C9FAFC}"/>
              </a:ext>
            </a:extLst>
          </xdr:cNvPr>
          <xdr:cNvSpPr/>
        </xdr:nvSpPr>
        <xdr:spPr>
          <a:xfrm>
            <a:off x="1" y="424182"/>
            <a:ext cx="11653630" cy="503469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400"/>
          </a:p>
        </xdr:txBody>
      </xdr:sp>
      <xdr:sp macro="[0]!사용설명" textlink="">
        <xdr:nvSpPr>
          <xdr:cNvPr id="5" name="사각형: 둥근 모서리 4">
            <a:extLst>
              <a:ext uri="{FF2B5EF4-FFF2-40B4-BE49-F238E27FC236}">
                <a16:creationId xmlns:a16="http://schemas.microsoft.com/office/drawing/2014/main" id="{422E2B75-D7F7-4F1C-A684-474C9A06F5EB}"/>
              </a:ext>
            </a:extLst>
          </xdr:cNvPr>
          <xdr:cNvSpPr/>
        </xdr:nvSpPr>
        <xdr:spPr>
          <a:xfrm>
            <a:off x="134503" y="506796"/>
            <a:ext cx="1210517" cy="329747"/>
          </a:xfrm>
          <a:prstGeom prst="roundRect">
            <a:avLst/>
          </a:prstGeom>
          <a:solidFill>
            <a:schemeClr val="accent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400" b="1"/>
              <a:t>사용설명</a:t>
            </a:r>
            <a:endParaRPr lang="ko-KR" altLang="en-US" sz="1200" b="1"/>
          </a:p>
        </xdr:txBody>
      </xdr:sp>
      <xdr:sp macro="[0]!사원명부" textlink="">
        <xdr:nvSpPr>
          <xdr:cNvPr id="6" name="사각형: 둥근 모서리 5">
            <a:extLst>
              <a:ext uri="{FF2B5EF4-FFF2-40B4-BE49-F238E27FC236}">
                <a16:creationId xmlns:a16="http://schemas.microsoft.com/office/drawing/2014/main" id="{FB4BC3AC-692E-4A87-B5F8-A6577428A7C0}"/>
              </a:ext>
            </a:extLst>
          </xdr:cNvPr>
          <xdr:cNvSpPr/>
        </xdr:nvSpPr>
        <xdr:spPr>
          <a:xfrm>
            <a:off x="3395869" y="506796"/>
            <a:ext cx="1731065" cy="321465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400" b="1">
                <a:solidFill>
                  <a:schemeClr val="accent1">
                    <a:lumMod val="75000"/>
                  </a:schemeClr>
                </a:solidFill>
              </a:rPr>
              <a:t>Main</a:t>
            </a:r>
            <a:r>
              <a:rPr lang="en-US" altLang="ko-KR" sz="1400" b="1" baseline="0">
                <a:solidFill>
                  <a:schemeClr val="accent1">
                    <a:lumMod val="75000"/>
                  </a:schemeClr>
                </a:solidFill>
              </a:rPr>
              <a:t> (</a:t>
            </a:r>
            <a:r>
              <a:rPr lang="ko-KR" altLang="en-US" sz="1400" b="1" baseline="0">
                <a:solidFill>
                  <a:schemeClr val="accent1">
                    <a:lumMod val="75000"/>
                  </a:schemeClr>
                </a:solidFill>
              </a:rPr>
              <a:t>정보입력</a:t>
            </a:r>
            <a:r>
              <a:rPr lang="en-US" altLang="ko-KR" sz="1400" b="1" baseline="0">
                <a:solidFill>
                  <a:schemeClr val="accent1">
                    <a:lumMod val="75000"/>
                  </a:schemeClr>
                </a:solidFill>
              </a:rPr>
              <a:t>)</a:t>
            </a:r>
            <a:endParaRPr lang="ko-KR" altLang="en-US" sz="1400" b="1">
              <a:solidFill>
                <a:schemeClr val="accent1">
                  <a:lumMod val="75000"/>
                </a:schemeClr>
              </a:solidFill>
            </a:endParaRPr>
          </a:p>
        </xdr:txBody>
      </xdr:sp>
      <xdr:sp macro="[0]!관련정보" textlink="">
        <xdr:nvSpPr>
          <xdr:cNvPr id="7" name="사각형: 둥근 모서리 6">
            <a:extLst>
              <a:ext uri="{FF2B5EF4-FFF2-40B4-BE49-F238E27FC236}">
                <a16:creationId xmlns:a16="http://schemas.microsoft.com/office/drawing/2014/main" id="{47538D86-D9F4-4285-A1C4-3D9C1D922EA2}"/>
              </a:ext>
            </a:extLst>
          </xdr:cNvPr>
          <xdr:cNvSpPr/>
        </xdr:nvSpPr>
        <xdr:spPr>
          <a:xfrm>
            <a:off x="8905949" y="506796"/>
            <a:ext cx="1803464" cy="321465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400" b="1">
                <a:solidFill>
                  <a:schemeClr val="accent1">
                    <a:lumMod val="75000"/>
                  </a:schemeClr>
                </a:solidFill>
              </a:rPr>
              <a:t>관련 정보</a:t>
            </a:r>
          </a:p>
        </xdr:txBody>
      </xdr:sp>
      <xdr:sp macro="[0]!관리용" textlink="">
        <xdr:nvSpPr>
          <xdr:cNvPr id="8" name="사각형: 둥근 모서리 7">
            <a:extLst>
              <a:ext uri="{FF2B5EF4-FFF2-40B4-BE49-F238E27FC236}">
                <a16:creationId xmlns:a16="http://schemas.microsoft.com/office/drawing/2014/main" id="{4B97419A-58F7-4C55-91F3-189783652BDD}"/>
              </a:ext>
            </a:extLst>
          </xdr:cNvPr>
          <xdr:cNvSpPr/>
        </xdr:nvSpPr>
        <xdr:spPr>
          <a:xfrm>
            <a:off x="5290963" y="506796"/>
            <a:ext cx="1608451" cy="313183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400" b="1">
                <a:solidFill>
                  <a:schemeClr val="accent1">
                    <a:lumMod val="75000"/>
                  </a:schemeClr>
                </a:solidFill>
              </a:rPr>
              <a:t>휴가대장 관리</a:t>
            </a:r>
          </a:p>
        </xdr:txBody>
      </xdr:sp>
      <xdr:sp macro="[0]!출력용" textlink="">
        <xdr:nvSpPr>
          <xdr:cNvPr id="9" name="사각형: 둥근 모서리 8">
            <a:extLst>
              <a:ext uri="{FF2B5EF4-FFF2-40B4-BE49-F238E27FC236}">
                <a16:creationId xmlns:a16="http://schemas.microsoft.com/office/drawing/2014/main" id="{3FAE85D9-B61B-48A1-AF09-A26AF9BE2536}"/>
              </a:ext>
            </a:extLst>
          </xdr:cNvPr>
          <xdr:cNvSpPr/>
        </xdr:nvSpPr>
        <xdr:spPr>
          <a:xfrm>
            <a:off x="7065065" y="506796"/>
            <a:ext cx="1648239" cy="321465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400" b="1">
                <a:solidFill>
                  <a:schemeClr val="accent1">
                    <a:lumMod val="75000"/>
                  </a:schemeClr>
                </a:solidFill>
              </a:rPr>
              <a:t>휴가대장 출력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3D34F2D-D085-417F-93D9-2C86851728C1}"/>
              </a:ext>
            </a:extLst>
          </xdr:cNvPr>
          <xdr:cNvSpPr txBox="1"/>
        </xdr:nvSpPr>
        <xdr:spPr>
          <a:xfrm>
            <a:off x="314738" y="91109"/>
            <a:ext cx="3163957" cy="273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ko-KR" altLang="en-US" sz="1400" b="1">
                <a:solidFill>
                  <a:schemeClr val="bg1"/>
                </a:solidFill>
              </a:rPr>
              <a:t>연차휴가대장 엑셀프로그램</a:t>
            </a:r>
          </a:p>
        </xdr:txBody>
      </xdr:sp>
    </xdr:grpSp>
    <xdr:clientData/>
  </xdr:twoCellAnchor>
  <xdr:twoCellAnchor editAs="oneCell">
    <xdr:from>
      <xdr:col>1</xdr:col>
      <xdr:colOff>333375</xdr:colOff>
      <xdr:row>8</xdr:row>
      <xdr:rowOff>114300</xdr:rowOff>
    </xdr:from>
    <xdr:to>
      <xdr:col>18</xdr:col>
      <xdr:colOff>274775</xdr:colOff>
      <xdr:row>26</xdr:row>
      <xdr:rowOff>156881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961CBE2B-9002-4D9E-BF44-E8AD40AE5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934" y="1940859"/>
          <a:ext cx="11561900" cy="3874994"/>
        </a:xfrm>
        <a:prstGeom prst="rect">
          <a:avLst/>
        </a:prstGeom>
      </xdr:spPr>
    </xdr:pic>
    <xdr:clientData/>
  </xdr:twoCellAnchor>
  <xdr:twoCellAnchor>
    <xdr:from>
      <xdr:col>2</xdr:col>
      <xdr:colOff>224117</xdr:colOff>
      <xdr:row>34</xdr:row>
      <xdr:rowOff>56030</xdr:rowOff>
    </xdr:from>
    <xdr:to>
      <xdr:col>29</xdr:col>
      <xdr:colOff>494497</xdr:colOff>
      <xdr:row>53</xdr:row>
      <xdr:rowOff>93648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D2130183-4DB8-495C-9A10-4F40A3E1AE67}"/>
            </a:ext>
          </a:extLst>
        </xdr:cNvPr>
        <xdr:cNvGrpSpPr/>
      </xdr:nvGrpSpPr>
      <xdr:grpSpPr>
        <a:xfrm>
          <a:off x="1582926" y="8060840"/>
          <a:ext cx="18641928" cy="4337475"/>
          <a:chOff x="1591235" y="7250206"/>
          <a:chExt cx="18726468" cy="4217413"/>
        </a:xfrm>
      </xdr:grpSpPr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04FFFF71-8C72-4BDC-A863-37301BA44D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591235" y="7620000"/>
            <a:ext cx="7638095" cy="3847619"/>
          </a:xfrm>
          <a:prstGeom prst="rect">
            <a:avLst/>
          </a:prstGeom>
        </xdr:spPr>
      </xdr:pic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A1F1EE67-EB7D-48C3-B04B-04A7741B1A21}"/>
              </a:ext>
            </a:extLst>
          </xdr:cNvPr>
          <xdr:cNvSpPr/>
        </xdr:nvSpPr>
        <xdr:spPr>
          <a:xfrm>
            <a:off x="5434853" y="7989794"/>
            <a:ext cx="1232647" cy="1602441"/>
          </a:xfrm>
          <a:prstGeom prst="rect">
            <a:avLst/>
          </a:prstGeom>
          <a:noFill/>
          <a:ln w="412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pic>
        <xdr:nvPicPr>
          <xdr:cNvPr id="15" name="그림 14">
            <a:extLst>
              <a:ext uri="{FF2B5EF4-FFF2-40B4-BE49-F238E27FC236}">
                <a16:creationId xmlns:a16="http://schemas.microsoft.com/office/drawing/2014/main" id="{3AEE5060-0942-46D1-B1BF-E92D68CE3F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412941" y="7619998"/>
            <a:ext cx="10904762" cy="3798795"/>
          </a:xfrm>
          <a:prstGeom prst="rect">
            <a:avLst/>
          </a:prstGeom>
        </xdr:spPr>
      </xdr:pic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2858FFDF-B6B1-4624-87FC-DA9A8079FE35}"/>
              </a:ext>
            </a:extLst>
          </xdr:cNvPr>
          <xdr:cNvSpPr/>
        </xdr:nvSpPr>
        <xdr:spPr>
          <a:xfrm>
            <a:off x="9424147" y="7642412"/>
            <a:ext cx="9054353" cy="1815353"/>
          </a:xfrm>
          <a:prstGeom prst="rect">
            <a:avLst/>
          </a:prstGeom>
          <a:noFill/>
          <a:ln w="412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7B844FC0-34C9-452D-8DF4-5689EEE3F689}"/>
              </a:ext>
            </a:extLst>
          </xdr:cNvPr>
          <xdr:cNvSpPr/>
        </xdr:nvSpPr>
        <xdr:spPr>
          <a:xfrm>
            <a:off x="18769853" y="7631206"/>
            <a:ext cx="1546412" cy="1837765"/>
          </a:xfrm>
          <a:prstGeom prst="rect">
            <a:avLst/>
          </a:prstGeom>
          <a:noFill/>
          <a:ln w="412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pic>
        <xdr:nvPicPr>
          <xdr:cNvPr id="18" name="그림 17">
            <a:extLst>
              <a:ext uri="{FF2B5EF4-FFF2-40B4-BE49-F238E27FC236}">
                <a16:creationId xmlns:a16="http://schemas.microsoft.com/office/drawing/2014/main" id="{0B9DDC96-062F-4035-98A7-7145D8050C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378824" y="7653618"/>
            <a:ext cx="342857" cy="314286"/>
          </a:xfrm>
          <a:prstGeom prst="rect">
            <a:avLst/>
          </a:prstGeom>
          <a:pattFill prst="pct5">
            <a:fgClr>
              <a:schemeClr val="accent1"/>
            </a:fgClr>
            <a:bgClr>
              <a:schemeClr val="bg1"/>
            </a:bgClr>
          </a:pattFill>
        </xdr:spPr>
      </xdr:pic>
      <xdr:pic>
        <xdr:nvPicPr>
          <xdr:cNvPr id="19" name="그림 18">
            <a:extLst>
              <a:ext uri="{FF2B5EF4-FFF2-40B4-BE49-F238E27FC236}">
                <a16:creationId xmlns:a16="http://schemas.microsoft.com/office/drawing/2014/main" id="{D8111C60-5B22-454D-9F54-227761410B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9356911" y="7295030"/>
            <a:ext cx="400000" cy="285714"/>
          </a:xfrm>
          <a:prstGeom prst="rect">
            <a:avLst/>
          </a:prstGeom>
        </xdr:spPr>
      </xdr:pic>
      <xdr:pic>
        <xdr:nvPicPr>
          <xdr:cNvPr id="20" name="그림 19">
            <a:extLst>
              <a:ext uri="{FF2B5EF4-FFF2-40B4-BE49-F238E27FC236}">
                <a16:creationId xmlns:a16="http://schemas.microsoft.com/office/drawing/2014/main" id="{D67667C5-55D8-42E0-BC49-D26E4DA49C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8702618" y="7250206"/>
            <a:ext cx="333333" cy="295238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12</xdr:col>
      <xdr:colOff>8283</xdr:colOff>
      <xdr:row>2</xdr:row>
      <xdr:rowOff>49694</xdr:rowOff>
    </xdr:to>
    <xdr:grpSp>
      <xdr:nvGrpSpPr>
        <xdr:cNvPr id="31" name="그룹 30">
          <a:extLst>
            <a:ext uri="{FF2B5EF4-FFF2-40B4-BE49-F238E27FC236}">
              <a16:creationId xmlns:a16="http://schemas.microsoft.com/office/drawing/2014/main" id="{FDD18CDB-CFC6-4E37-8F24-41EE3EB81E76}"/>
            </a:ext>
          </a:extLst>
        </xdr:cNvPr>
        <xdr:cNvGrpSpPr/>
      </xdr:nvGrpSpPr>
      <xdr:grpSpPr>
        <a:xfrm>
          <a:off x="1" y="0"/>
          <a:ext cx="12202187" cy="920279"/>
          <a:chOff x="1" y="0"/>
          <a:chExt cx="11653630" cy="927651"/>
        </a:xfrm>
      </xdr:grpSpPr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238BFD74-BFD6-4F04-A36B-52E7B851F97E}"/>
              </a:ext>
            </a:extLst>
          </xdr:cNvPr>
          <xdr:cNvSpPr/>
        </xdr:nvSpPr>
        <xdr:spPr>
          <a:xfrm>
            <a:off x="1" y="0"/>
            <a:ext cx="11653630" cy="416608"/>
          </a:xfrm>
          <a:prstGeom prst="rect">
            <a:avLst/>
          </a:prstGeom>
          <a:solidFill>
            <a:schemeClr val="accent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697FB583-2D7F-43D7-BCBA-46716B28AB90}"/>
              </a:ext>
            </a:extLst>
          </xdr:cNvPr>
          <xdr:cNvSpPr/>
        </xdr:nvSpPr>
        <xdr:spPr>
          <a:xfrm>
            <a:off x="1" y="424182"/>
            <a:ext cx="11653630" cy="503469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400"/>
          </a:p>
        </xdr:txBody>
      </xdr:sp>
      <xdr:sp macro="[0]!사용설명" textlink="">
        <xdr:nvSpPr>
          <xdr:cNvPr id="9" name="사각형: 둥근 모서리 8">
            <a:extLst>
              <a:ext uri="{FF2B5EF4-FFF2-40B4-BE49-F238E27FC236}">
                <a16:creationId xmlns:a16="http://schemas.microsoft.com/office/drawing/2014/main" id="{C2EE5591-4BD3-4525-8527-82E0D00279C0}"/>
              </a:ext>
            </a:extLst>
          </xdr:cNvPr>
          <xdr:cNvSpPr/>
        </xdr:nvSpPr>
        <xdr:spPr>
          <a:xfrm>
            <a:off x="134503" y="506796"/>
            <a:ext cx="1210517" cy="329747"/>
          </a:xfrm>
          <a:prstGeom prst="roundRect">
            <a:avLst/>
          </a:prstGeom>
          <a:solidFill>
            <a:schemeClr val="accent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400" b="1"/>
              <a:t>사용설명</a:t>
            </a:r>
            <a:endParaRPr lang="ko-KR" altLang="en-US" sz="1200" b="1"/>
          </a:p>
        </xdr:txBody>
      </xdr:sp>
      <xdr:sp macro="[0]!사원명부" textlink="">
        <xdr:nvSpPr>
          <xdr:cNvPr id="10" name="사각형: 둥근 모서리 9">
            <a:extLst>
              <a:ext uri="{FF2B5EF4-FFF2-40B4-BE49-F238E27FC236}">
                <a16:creationId xmlns:a16="http://schemas.microsoft.com/office/drawing/2014/main" id="{C7446D80-A9C3-4B11-83E6-1D74131564D7}"/>
              </a:ext>
            </a:extLst>
          </xdr:cNvPr>
          <xdr:cNvSpPr/>
        </xdr:nvSpPr>
        <xdr:spPr>
          <a:xfrm>
            <a:off x="3395869" y="506796"/>
            <a:ext cx="1731065" cy="321465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400" b="1">
                <a:solidFill>
                  <a:schemeClr val="accent1">
                    <a:lumMod val="75000"/>
                  </a:schemeClr>
                </a:solidFill>
              </a:rPr>
              <a:t>Main</a:t>
            </a:r>
            <a:r>
              <a:rPr lang="en-US" altLang="ko-KR" sz="1400" b="1" baseline="0">
                <a:solidFill>
                  <a:schemeClr val="accent1">
                    <a:lumMod val="75000"/>
                  </a:schemeClr>
                </a:solidFill>
              </a:rPr>
              <a:t> (</a:t>
            </a:r>
            <a:r>
              <a:rPr lang="ko-KR" altLang="en-US" sz="1400" b="1" baseline="0">
                <a:solidFill>
                  <a:schemeClr val="accent1">
                    <a:lumMod val="75000"/>
                  </a:schemeClr>
                </a:solidFill>
              </a:rPr>
              <a:t>정보입력</a:t>
            </a:r>
            <a:r>
              <a:rPr lang="en-US" altLang="ko-KR" sz="1400" b="1" baseline="0">
                <a:solidFill>
                  <a:schemeClr val="accent1">
                    <a:lumMod val="75000"/>
                  </a:schemeClr>
                </a:solidFill>
              </a:rPr>
              <a:t>)</a:t>
            </a:r>
            <a:endParaRPr lang="ko-KR" altLang="en-US" sz="1400" b="1">
              <a:solidFill>
                <a:schemeClr val="accent1">
                  <a:lumMod val="75000"/>
                </a:schemeClr>
              </a:solidFill>
            </a:endParaRPr>
          </a:p>
        </xdr:txBody>
      </xdr:sp>
      <xdr:sp macro="[0]!관련정보" textlink="">
        <xdr:nvSpPr>
          <xdr:cNvPr id="11" name="사각형: 둥근 모서리 10">
            <a:extLst>
              <a:ext uri="{FF2B5EF4-FFF2-40B4-BE49-F238E27FC236}">
                <a16:creationId xmlns:a16="http://schemas.microsoft.com/office/drawing/2014/main" id="{D075D728-0453-4C76-B2F9-C8DFB02C2056}"/>
              </a:ext>
            </a:extLst>
          </xdr:cNvPr>
          <xdr:cNvSpPr/>
        </xdr:nvSpPr>
        <xdr:spPr>
          <a:xfrm>
            <a:off x="8905949" y="506796"/>
            <a:ext cx="1803464" cy="321465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400" b="1">
                <a:solidFill>
                  <a:schemeClr val="accent1">
                    <a:lumMod val="75000"/>
                  </a:schemeClr>
                </a:solidFill>
              </a:rPr>
              <a:t>관련 정보</a:t>
            </a:r>
          </a:p>
        </xdr:txBody>
      </xdr:sp>
      <xdr:sp macro="[0]!관리용" textlink="">
        <xdr:nvSpPr>
          <xdr:cNvPr id="13" name="사각형: 둥근 모서리 12">
            <a:extLst>
              <a:ext uri="{FF2B5EF4-FFF2-40B4-BE49-F238E27FC236}">
                <a16:creationId xmlns:a16="http://schemas.microsoft.com/office/drawing/2014/main" id="{73C293E8-82A4-496A-B887-732DC0D5A713}"/>
              </a:ext>
            </a:extLst>
          </xdr:cNvPr>
          <xdr:cNvSpPr/>
        </xdr:nvSpPr>
        <xdr:spPr>
          <a:xfrm>
            <a:off x="5290963" y="506796"/>
            <a:ext cx="1608451" cy="313183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400" b="1">
                <a:solidFill>
                  <a:schemeClr val="accent1">
                    <a:lumMod val="75000"/>
                  </a:schemeClr>
                </a:solidFill>
              </a:rPr>
              <a:t>휴가대장 관리</a:t>
            </a:r>
          </a:p>
        </xdr:txBody>
      </xdr:sp>
      <xdr:sp macro="[0]!출력용" textlink="">
        <xdr:nvSpPr>
          <xdr:cNvPr id="15" name="사각형: 둥근 모서리 14">
            <a:extLst>
              <a:ext uri="{FF2B5EF4-FFF2-40B4-BE49-F238E27FC236}">
                <a16:creationId xmlns:a16="http://schemas.microsoft.com/office/drawing/2014/main" id="{0F7BB339-ED6E-459B-8BDF-DE0B79207CE7}"/>
              </a:ext>
            </a:extLst>
          </xdr:cNvPr>
          <xdr:cNvSpPr/>
        </xdr:nvSpPr>
        <xdr:spPr>
          <a:xfrm>
            <a:off x="7065065" y="506796"/>
            <a:ext cx="1648239" cy="321465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400" b="1">
                <a:solidFill>
                  <a:schemeClr val="accent1">
                    <a:lumMod val="75000"/>
                  </a:schemeClr>
                </a:solidFill>
              </a:rPr>
              <a:t>휴가대장 출력</a:t>
            </a: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E7EB1367-7B0A-4383-B137-E9987FE71B38}"/>
              </a:ext>
            </a:extLst>
          </xdr:cNvPr>
          <xdr:cNvSpPr txBox="1"/>
        </xdr:nvSpPr>
        <xdr:spPr>
          <a:xfrm>
            <a:off x="314738" y="91109"/>
            <a:ext cx="3163957" cy="273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ko-KR" altLang="en-US" sz="1400" b="1">
                <a:solidFill>
                  <a:schemeClr val="bg1"/>
                </a:solidFill>
              </a:rPr>
              <a:t>연차휴가대장 엑셀프로그램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1512306</xdr:colOff>
      <xdr:row>2</xdr:row>
      <xdr:rowOff>0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FC29BBD3-57B9-46BD-94B2-1204B22AF8F2}"/>
            </a:ext>
          </a:extLst>
        </xdr:cNvPr>
        <xdr:cNvGrpSpPr/>
      </xdr:nvGrpSpPr>
      <xdr:grpSpPr>
        <a:xfrm>
          <a:off x="0" y="0"/>
          <a:ext cx="12333378" cy="1098176"/>
          <a:chOff x="1" y="0"/>
          <a:chExt cx="11653630" cy="927651"/>
        </a:xfrm>
      </xdr:grpSpPr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3691E457-C648-4890-BB74-ED319FD1239A}"/>
              </a:ext>
            </a:extLst>
          </xdr:cNvPr>
          <xdr:cNvSpPr/>
        </xdr:nvSpPr>
        <xdr:spPr>
          <a:xfrm>
            <a:off x="1" y="0"/>
            <a:ext cx="11653630" cy="416608"/>
          </a:xfrm>
          <a:prstGeom prst="rect">
            <a:avLst/>
          </a:prstGeom>
          <a:solidFill>
            <a:schemeClr val="accent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FAA2EA44-8EBA-4296-887D-BEB6376521C8}"/>
              </a:ext>
            </a:extLst>
          </xdr:cNvPr>
          <xdr:cNvSpPr/>
        </xdr:nvSpPr>
        <xdr:spPr>
          <a:xfrm>
            <a:off x="1" y="424182"/>
            <a:ext cx="11653630" cy="503469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400"/>
          </a:p>
        </xdr:txBody>
      </xdr:sp>
      <xdr:sp macro="[0]!사용설명" textlink="">
        <xdr:nvSpPr>
          <xdr:cNvPr id="13" name="사각형: 둥근 모서리 12">
            <a:extLst>
              <a:ext uri="{FF2B5EF4-FFF2-40B4-BE49-F238E27FC236}">
                <a16:creationId xmlns:a16="http://schemas.microsoft.com/office/drawing/2014/main" id="{46286CA3-7A4C-4F35-AF26-C86F2F04599A}"/>
              </a:ext>
            </a:extLst>
          </xdr:cNvPr>
          <xdr:cNvSpPr/>
        </xdr:nvSpPr>
        <xdr:spPr>
          <a:xfrm>
            <a:off x="134503" y="506796"/>
            <a:ext cx="1210517" cy="329747"/>
          </a:xfrm>
          <a:prstGeom prst="roundRect">
            <a:avLst/>
          </a:prstGeom>
          <a:solidFill>
            <a:schemeClr val="accent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400" b="1"/>
              <a:t>사용설명</a:t>
            </a:r>
            <a:endParaRPr lang="ko-KR" altLang="en-US" sz="1200" b="1"/>
          </a:p>
        </xdr:txBody>
      </xdr:sp>
      <xdr:sp macro="[0]!사원명부" textlink="">
        <xdr:nvSpPr>
          <xdr:cNvPr id="14" name="사각형: 둥근 모서리 13">
            <a:extLst>
              <a:ext uri="{FF2B5EF4-FFF2-40B4-BE49-F238E27FC236}">
                <a16:creationId xmlns:a16="http://schemas.microsoft.com/office/drawing/2014/main" id="{425771A4-818F-4080-ACE9-FA64770515D1}"/>
              </a:ext>
            </a:extLst>
          </xdr:cNvPr>
          <xdr:cNvSpPr/>
        </xdr:nvSpPr>
        <xdr:spPr>
          <a:xfrm>
            <a:off x="3395869" y="506796"/>
            <a:ext cx="1731065" cy="321465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400" b="1">
                <a:solidFill>
                  <a:schemeClr val="accent1">
                    <a:lumMod val="75000"/>
                  </a:schemeClr>
                </a:solidFill>
              </a:rPr>
              <a:t>Main</a:t>
            </a:r>
            <a:r>
              <a:rPr lang="en-US" altLang="ko-KR" sz="1400" b="1" baseline="0">
                <a:solidFill>
                  <a:schemeClr val="accent1">
                    <a:lumMod val="75000"/>
                  </a:schemeClr>
                </a:solidFill>
              </a:rPr>
              <a:t> (</a:t>
            </a:r>
            <a:r>
              <a:rPr lang="ko-KR" altLang="en-US" sz="1400" b="1" baseline="0">
                <a:solidFill>
                  <a:schemeClr val="accent1">
                    <a:lumMod val="75000"/>
                  </a:schemeClr>
                </a:solidFill>
              </a:rPr>
              <a:t>정보입력</a:t>
            </a:r>
            <a:r>
              <a:rPr lang="en-US" altLang="ko-KR" sz="1400" b="1" baseline="0">
                <a:solidFill>
                  <a:schemeClr val="accent1">
                    <a:lumMod val="75000"/>
                  </a:schemeClr>
                </a:solidFill>
              </a:rPr>
              <a:t>)</a:t>
            </a:r>
            <a:endParaRPr lang="ko-KR" altLang="en-US" sz="1400" b="1">
              <a:solidFill>
                <a:schemeClr val="accent1">
                  <a:lumMod val="75000"/>
                </a:schemeClr>
              </a:solidFill>
            </a:endParaRPr>
          </a:p>
        </xdr:txBody>
      </xdr:sp>
      <xdr:sp macro="[0]!관련정보" textlink="">
        <xdr:nvSpPr>
          <xdr:cNvPr id="15" name="사각형: 둥근 모서리 14">
            <a:extLst>
              <a:ext uri="{FF2B5EF4-FFF2-40B4-BE49-F238E27FC236}">
                <a16:creationId xmlns:a16="http://schemas.microsoft.com/office/drawing/2014/main" id="{72F26A12-98F5-495F-A834-AB15996CBF38}"/>
              </a:ext>
            </a:extLst>
          </xdr:cNvPr>
          <xdr:cNvSpPr/>
        </xdr:nvSpPr>
        <xdr:spPr>
          <a:xfrm>
            <a:off x="8905949" y="506796"/>
            <a:ext cx="1803464" cy="321465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400" b="1">
                <a:solidFill>
                  <a:schemeClr val="accent1">
                    <a:lumMod val="75000"/>
                  </a:schemeClr>
                </a:solidFill>
              </a:rPr>
              <a:t>관련 정보</a:t>
            </a:r>
          </a:p>
        </xdr:txBody>
      </xdr:sp>
      <xdr:sp macro="[0]!관리용" textlink="">
        <xdr:nvSpPr>
          <xdr:cNvPr id="16" name="사각형: 둥근 모서리 15">
            <a:extLst>
              <a:ext uri="{FF2B5EF4-FFF2-40B4-BE49-F238E27FC236}">
                <a16:creationId xmlns:a16="http://schemas.microsoft.com/office/drawing/2014/main" id="{40C0A5D1-E51F-43E6-B197-CA6AABA7E0E1}"/>
              </a:ext>
            </a:extLst>
          </xdr:cNvPr>
          <xdr:cNvSpPr/>
        </xdr:nvSpPr>
        <xdr:spPr>
          <a:xfrm>
            <a:off x="5290963" y="506796"/>
            <a:ext cx="1608451" cy="313183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400" b="1">
                <a:solidFill>
                  <a:schemeClr val="accent1">
                    <a:lumMod val="75000"/>
                  </a:schemeClr>
                </a:solidFill>
              </a:rPr>
              <a:t>휴가대장 관리</a:t>
            </a:r>
          </a:p>
        </xdr:txBody>
      </xdr:sp>
      <xdr:sp macro="[0]!출력용" textlink="">
        <xdr:nvSpPr>
          <xdr:cNvPr id="17" name="사각형: 둥근 모서리 16">
            <a:extLst>
              <a:ext uri="{FF2B5EF4-FFF2-40B4-BE49-F238E27FC236}">
                <a16:creationId xmlns:a16="http://schemas.microsoft.com/office/drawing/2014/main" id="{20A22D90-43B5-4CD0-9384-21145BF17599}"/>
              </a:ext>
            </a:extLst>
          </xdr:cNvPr>
          <xdr:cNvSpPr/>
        </xdr:nvSpPr>
        <xdr:spPr>
          <a:xfrm>
            <a:off x="7065065" y="506796"/>
            <a:ext cx="1648239" cy="321465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400" b="1">
                <a:solidFill>
                  <a:schemeClr val="accent1">
                    <a:lumMod val="75000"/>
                  </a:schemeClr>
                </a:solidFill>
              </a:rPr>
              <a:t>휴가대장 출력</a:t>
            </a: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2AE476CA-7BAA-4326-97D3-5D222F07FDC4}"/>
              </a:ext>
            </a:extLst>
          </xdr:cNvPr>
          <xdr:cNvSpPr txBox="1"/>
        </xdr:nvSpPr>
        <xdr:spPr>
          <a:xfrm>
            <a:off x="314738" y="91109"/>
            <a:ext cx="3163957" cy="273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ko-KR" altLang="en-US" sz="1400" b="1">
                <a:solidFill>
                  <a:schemeClr val="bg1"/>
                </a:solidFill>
              </a:rPr>
              <a:t>연차휴가대장 엑셀프로그램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12</xdr:col>
      <xdr:colOff>698573</xdr:colOff>
      <xdr:row>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987511E4-A9D1-444A-843D-9BFC1321F6D8}"/>
            </a:ext>
          </a:extLst>
        </xdr:cNvPr>
        <xdr:cNvGrpSpPr/>
      </xdr:nvGrpSpPr>
      <xdr:grpSpPr>
        <a:xfrm>
          <a:off x="0" y="1"/>
          <a:ext cx="12322883" cy="1098175"/>
          <a:chOff x="1" y="0"/>
          <a:chExt cx="11653630" cy="927651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9BA264E3-0312-4581-9B2A-710033FD58AF}"/>
              </a:ext>
            </a:extLst>
          </xdr:cNvPr>
          <xdr:cNvSpPr/>
        </xdr:nvSpPr>
        <xdr:spPr>
          <a:xfrm>
            <a:off x="1" y="0"/>
            <a:ext cx="11653630" cy="416608"/>
          </a:xfrm>
          <a:prstGeom prst="rect">
            <a:avLst/>
          </a:prstGeom>
          <a:solidFill>
            <a:schemeClr val="accent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610D038E-30E6-4E4A-87E8-57DD2358D16D}"/>
              </a:ext>
            </a:extLst>
          </xdr:cNvPr>
          <xdr:cNvSpPr/>
        </xdr:nvSpPr>
        <xdr:spPr>
          <a:xfrm>
            <a:off x="1" y="424182"/>
            <a:ext cx="11653630" cy="503469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400"/>
          </a:p>
        </xdr:txBody>
      </xdr:sp>
      <xdr:sp macro="[0]!사용설명" textlink="">
        <xdr:nvSpPr>
          <xdr:cNvPr id="5" name="사각형: 둥근 모서리 4">
            <a:extLst>
              <a:ext uri="{FF2B5EF4-FFF2-40B4-BE49-F238E27FC236}">
                <a16:creationId xmlns:a16="http://schemas.microsoft.com/office/drawing/2014/main" id="{F493B51E-4221-4411-A02F-4B84745A5B88}"/>
              </a:ext>
            </a:extLst>
          </xdr:cNvPr>
          <xdr:cNvSpPr/>
        </xdr:nvSpPr>
        <xdr:spPr>
          <a:xfrm>
            <a:off x="134503" y="506796"/>
            <a:ext cx="1210517" cy="329747"/>
          </a:xfrm>
          <a:prstGeom prst="roundRect">
            <a:avLst/>
          </a:prstGeom>
          <a:solidFill>
            <a:schemeClr val="accent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400" b="1"/>
              <a:t>사용설명</a:t>
            </a:r>
            <a:endParaRPr lang="ko-KR" altLang="en-US" sz="1200" b="1"/>
          </a:p>
        </xdr:txBody>
      </xdr:sp>
      <xdr:sp macro="[0]!사원명부" textlink="">
        <xdr:nvSpPr>
          <xdr:cNvPr id="6" name="사각형: 둥근 모서리 5">
            <a:extLst>
              <a:ext uri="{FF2B5EF4-FFF2-40B4-BE49-F238E27FC236}">
                <a16:creationId xmlns:a16="http://schemas.microsoft.com/office/drawing/2014/main" id="{DC2A4EBF-1318-4881-955C-6F9F7CF71954}"/>
              </a:ext>
            </a:extLst>
          </xdr:cNvPr>
          <xdr:cNvSpPr/>
        </xdr:nvSpPr>
        <xdr:spPr>
          <a:xfrm>
            <a:off x="3395869" y="506796"/>
            <a:ext cx="1731065" cy="321465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400" b="1">
                <a:solidFill>
                  <a:schemeClr val="accent1">
                    <a:lumMod val="75000"/>
                  </a:schemeClr>
                </a:solidFill>
              </a:rPr>
              <a:t>Main</a:t>
            </a:r>
            <a:r>
              <a:rPr lang="en-US" altLang="ko-KR" sz="1400" b="1" baseline="0">
                <a:solidFill>
                  <a:schemeClr val="accent1">
                    <a:lumMod val="75000"/>
                  </a:schemeClr>
                </a:solidFill>
              </a:rPr>
              <a:t> (</a:t>
            </a:r>
            <a:r>
              <a:rPr lang="ko-KR" altLang="en-US" sz="1400" b="1" baseline="0">
                <a:solidFill>
                  <a:schemeClr val="accent1">
                    <a:lumMod val="75000"/>
                  </a:schemeClr>
                </a:solidFill>
              </a:rPr>
              <a:t>정보입력</a:t>
            </a:r>
            <a:r>
              <a:rPr lang="en-US" altLang="ko-KR" sz="1400" b="1" baseline="0">
                <a:solidFill>
                  <a:schemeClr val="accent1">
                    <a:lumMod val="75000"/>
                  </a:schemeClr>
                </a:solidFill>
              </a:rPr>
              <a:t>)</a:t>
            </a:r>
            <a:endParaRPr lang="ko-KR" altLang="en-US" sz="1400" b="1">
              <a:solidFill>
                <a:schemeClr val="accent1">
                  <a:lumMod val="75000"/>
                </a:schemeClr>
              </a:solidFill>
            </a:endParaRPr>
          </a:p>
        </xdr:txBody>
      </xdr:sp>
      <xdr:sp macro="[0]!관련정보" textlink="">
        <xdr:nvSpPr>
          <xdr:cNvPr id="7" name="사각형: 둥근 모서리 6">
            <a:extLst>
              <a:ext uri="{FF2B5EF4-FFF2-40B4-BE49-F238E27FC236}">
                <a16:creationId xmlns:a16="http://schemas.microsoft.com/office/drawing/2014/main" id="{F5A2F8B0-4AC4-41CB-8381-C9CD74F25EA1}"/>
              </a:ext>
            </a:extLst>
          </xdr:cNvPr>
          <xdr:cNvSpPr/>
        </xdr:nvSpPr>
        <xdr:spPr>
          <a:xfrm>
            <a:off x="8905949" y="506796"/>
            <a:ext cx="1803464" cy="321465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400" b="1">
                <a:solidFill>
                  <a:schemeClr val="accent1">
                    <a:lumMod val="75000"/>
                  </a:schemeClr>
                </a:solidFill>
              </a:rPr>
              <a:t>관련 정보</a:t>
            </a:r>
          </a:p>
        </xdr:txBody>
      </xdr:sp>
      <xdr:sp macro="[0]!관리용" textlink="">
        <xdr:nvSpPr>
          <xdr:cNvPr id="8" name="사각형: 둥근 모서리 7">
            <a:extLst>
              <a:ext uri="{FF2B5EF4-FFF2-40B4-BE49-F238E27FC236}">
                <a16:creationId xmlns:a16="http://schemas.microsoft.com/office/drawing/2014/main" id="{17CE892D-C135-43AD-BE6D-B7F990320B4A}"/>
              </a:ext>
            </a:extLst>
          </xdr:cNvPr>
          <xdr:cNvSpPr/>
        </xdr:nvSpPr>
        <xdr:spPr>
          <a:xfrm>
            <a:off x="5290963" y="506796"/>
            <a:ext cx="1608451" cy="313183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400" b="1">
                <a:solidFill>
                  <a:schemeClr val="accent1">
                    <a:lumMod val="75000"/>
                  </a:schemeClr>
                </a:solidFill>
              </a:rPr>
              <a:t>휴가대장 관리</a:t>
            </a:r>
          </a:p>
        </xdr:txBody>
      </xdr:sp>
      <xdr:sp macro="[0]!출력용" textlink="">
        <xdr:nvSpPr>
          <xdr:cNvPr id="9" name="사각형: 둥근 모서리 8">
            <a:extLst>
              <a:ext uri="{FF2B5EF4-FFF2-40B4-BE49-F238E27FC236}">
                <a16:creationId xmlns:a16="http://schemas.microsoft.com/office/drawing/2014/main" id="{1B25F69F-DCB7-43F5-920C-4B26BBA0040A}"/>
              </a:ext>
            </a:extLst>
          </xdr:cNvPr>
          <xdr:cNvSpPr/>
        </xdr:nvSpPr>
        <xdr:spPr>
          <a:xfrm>
            <a:off x="7065065" y="506796"/>
            <a:ext cx="1648239" cy="321465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400" b="1">
                <a:solidFill>
                  <a:schemeClr val="accent1">
                    <a:lumMod val="75000"/>
                  </a:schemeClr>
                </a:solidFill>
              </a:rPr>
              <a:t>휴가대장 출력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DFF7894A-8741-44DD-9DB0-922483C13A2D}"/>
              </a:ext>
            </a:extLst>
          </xdr:cNvPr>
          <xdr:cNvSpPr txBox="1"/>
        </xdr:nvSpPr>
        <xdr:spPr>
          <a:xfrm>
            <a:off x="314738" y="91109"/>
            <a:ext cx="3163957" cy="273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ko-KR" altLang="en-US" sz="1400" b="1">
                <a:solidFill>
                  <a:schemeClr val="bg1"/>
                </a:solidFill>
              </a:rPr>
              <a:t>연차휴가대장 엑셀프로그램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680830</xdr:colOff>
      <xdr:row>5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9A79C7C0-F0FE-4818-B599-F0D4EB8D2524}"/>
            </a:ext>
          </a:extLst>
        </xdr:cNvPr>
        <xdr:cNvGrpSpPr/>
      </xdr:nvGrpSpPr>
      <xdr:grpSpPr>
        <a:xfrm>
          <a:off x="0" y="0"/>
          <a:ext cx="11651725" cy="1095375"/>
          <a:chOff x="1" y="0"/>
          <a:chExt cx="11653630" cy="927651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3B7822E8-DE0F-4A8A-874D-BD748CD30C85}"/>
              </a:ext>
            </a:extLst>
          </xdr:cNvPr>
          <xdr:cNvSpPr/>
        </xdr:nvSpPr>
        <xdr:spPr>
          <a:xfrm>
            <a:off x="1" y="0"/>
            <a:ext cx="11653630" cy="416608"/>
          </a:xfrm>
          <a:prstGeom prst="rect">
            <a:avLst/>
          </a:prstGeom>
          <a:solidFill>
            <a:schemeClr val="accent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967497E8-FFA1-454D-BDD0-CA084B40FA1E}"/>
              </a:ext>
            </a:extLst>
          </xdr:cNvPr>
          <xdr:cNvSpPr/>
        </xdr:nvSpPr>
        <xdr:spPr>
          <a:xfrm>
            <a:off x="1" y="424182"/>
            <a:ext cx="11653630" cy="503469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400"/>
          </a:p>
        </xdr:txBody>
      </xdr:sp>
      <xdr:sp macro="[0]!사용설명" textlink="">
        <xdr:nvSpPr>
          <xdr:cNvPr id="5" name="사각형: 둥근 모서리 4">
            <a:extLst>
              <a:ext uri="{FF2B5EF4-FFF2-40B4-BE49-F238E27FC236}">
                <a16:creationId xmlns:a16="http://schemas.microsoft.com/office/drawing/2014/main" id="{0545E484-CDEF-4622-B0C3-7D3B215E3623}"/>
              </a:ext>
            </a:extLst>
          </xdr:cNvPr>
          <xdr:cNvSpPr/>
        </xdr:nvSpPr>
        <xdr:spPr>
          <a:xfrm>
            <a:off x="134503" y="506796"/>
            <a:ext cx="1210517" cy="329747"/>
          </a:xfrm>
          <a:prstGeom prst="roundRect">
            <a:avLst/>
          </a:prstGeom>
          <a:solidFill>
            <a:schemeClr val="accent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400" b="1"/>
              <a:t>사용설명</a:t>
            </a:r>
            <a:endParaRPr lang="ko-KR" altLang="en-US" sz="1200" b="1"/>
          </a:p>
        </xdr:txBody>
      </xdr:sp>
      <xdr:sp macro="[0]!사원명부" textlink="">
        <xdr:nvSpPr>
          <xdr:cNvPr id="6" name="사각형: 둥근 모서리 5">
            <a:extLst>
              <a:ext uri="{FF2B5EF4-FFF2-40B4-BE49-F238E27FC236}">
                <a16:creationId xmlns:a16="http://schemas.microsoft.com/office/drawing/2014/main" id="{EF5E99DA-83F4-4963-80B2-90F466693458}"/>
              </a:ext>
            </a:extLst>
          </xdr:cNvPr>
          <xdr:cNvSpPr/>
        </xdr:nvSpPr>
        <xdr:spPr>
          <a:xfrm>
            <a:off x="3395869" y="506796"/>
            <a:ext cx="1731065" cy="321465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400" b="1">
                <a:solidFill>
                  <a:schemeClr val="accent1">
                    <a:lumMod val="75000"/>
                  </a:schemeClr>
                </a:solidFill>
              </a:rPr>
              <a:t>Main</a:t>
            </a:r>
            <a:r>
              <a:rPr lang="en-US" altLang="ko-KR" sz="1400" b="1" baseline="0">
                <a:solidFill>
                  <a:schemeClr val="accent1">
                    <a:lumMod val="75000"/>
                  </a:schemeClr>
                </a:solidFill>
              </a:rPr>
              <a:t> (</a:t>
            </a:r>
            <a:r>
              <a:rPr lang="ko-KR" altLang="en-US" sz="1400" b="1" baseline="0">
                <a:solidFill>
                  <a:schemeClr val="accent1">
                    <a:lumMod val="75000"/>
                  </a:schemeClr>
                </a:solidFill>
              </a:rPr>
              <a:t>정보입력</a:t>
            </a:r>
            <a:r>
              <a:rPr lang="en-US" altLang="ko-KR" sz="1400" b="1" baseline="0">
                <a:solidFill>
                  <a:schemeClr val="accent1">
                    <a:lumMod val="75000"/>
                  </a:schemeClr>
                </a:solidFill>
              </a:rPr>
              <a:t>)</a:t>
            </a:r>
            <a:endParaRPr lang="ko-KR" altLang="en-US" sz="1400" b="1">
              <a:solidFill>
                <a:schemeClr val="accent1">
                  <a:lumMod val="75000"/>
                </a:schemeClr>
              </a:solidFill>
            </a:endParaRPr>
          </a:p>
        </xdr:txBody>
      </xdr:sp>
      <xdr:sp macro="[0]!관련정보" textlink="">
        <xdr:nvSpPr>
          <xdr:cNvPr id="7" name="사각형: 둥근 모서리 6">
            <a:extLst>
              <a:ext uri="{FF2B5EF4-FFF2-40B4-BE49-F238E27FC236}">
                <a16:creationId xmlns:a16="http://schemas.microsoft.com/office/drawing/2014/main" id="{DEA4DFCC-7317-4281-9AD4-5703AA18A490}"/>
              </a:ext>
            </a:extLst>
          </xdr:cNvPr>
          <xdr:cNvSpPr/>
        </xdr:nvSpPr>
        <xdr:spPr>
          <a:xfrm>
            <a:off x="8905949" y="506796"/>
            <a:ext cx="1803464" cy="321465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400" b="1">
                <a:solidFill>
                  <a:schemeClr val="accent1">
                    <a:lumMod val="75000"/>
                  </a:schemeClr>
                </a:solidFill>
              </a:rPr>
              <a:t>관련 정보</a:t>
            </a:r>
          </a:p>
        </xdr:txBody>
      </xdr:sp>
      <xdr:sp macro="[0]!관리용" textlink="">
        <xdr:nvSpPr>
          <xdr:cNvPr id="8" name="사각형: 둥근 모서리 7">
            <a:extLst>
              <a:ext uri="{FF2B5EF4-FFF2-40B4-BE49-F238E27FC236}">
                <a16:creationId xmlns:a16="http://schemas.microsoft.com/office/drawing/2014/main" id="{74A7887B-3CE9-41A0-BBC9-20C36A99A8AE}"/>
              </a:ext>
            </a:extLst>
          </xdr:cNvPr>
          <xdr:cNvSpPr/>
        </xdr:nvSpPr>
        <xdr:spPr>
          <a:xfrm>
            <a:off x="5290963" y="506796"/>
            <a:ext cx="1608451" cy="313183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400" b="1">
                <a:solidFill>
                  <a:schemeClr val="accent1">
                    <a:lumMod val="75000"/>
                  </a:schemeClr>
                </a:solidFill>
              </a:rPr>
              <a:t>휴가대장 관리</a:t>
            </a:r>
          </a:p>
        </xdr:txBody>
      </xdr:sp>
      <xdr:sp macro="[0]!출력용" textlink="">
        <xdr:nvSpPr>
          <xdr:cNvPr id="9" name="사각형: 둥근 모서리 8">
            <a:extLst>
              <a:ext uri="{FF2B5EF4-FFF2-40B4-BE49-F238E27FC236}">
                <a16:creationId xmlns:a16="http://schemas.microsoft.com/office/drawing/2014/main" id="{1509BF5D-2794-410E-8512-222283F9A21C}"/>
              </a:ext>
            </a:extLst>
          </xdr:cNvPr>
          <xdr:cNvSpPr/>
        </xdr:nvSpPr>
        <xdr:spPr>
          <a:xfrm>
            <a:off x="7065065" y="506796"/>
            <a:ext cx="1648239" cy="321465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400" b="1">
                <a:solidFill>
                  <a:schemeClr val="accent1">
                    <a:lumMod val="75000"/>
                  </a:schemeClr>
                </a:solidFill>
              </a:rPr>
              <a:t>휴가대장 출력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A75C63B7-0199-4115-A37B-99DF02B4542B}"/>
              </a:ext>
            </a:extLst>
          </xdr:cNvPr>
          <xdr:cNvSpPr txBox="1"/>
        </xdr:nvSpPr>
        <xdr:spPr>
          <a:xfrm>
            <a:off x="314738" y="91109"/>
            <a:ext cx="3163957" cy="273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ko-KR" altLang="en-US" sz="1400" b="1">
                <a:solidFill>
                  <a:schemeClr val="bg1"/>
                </a:solidFill>
              </a:rPr>
              <a:t>연차휴가대장 엑셀프로그램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F6177-EE03-4F43-8676-E6AE0809A7B1}">
  <sheetPr codeName="Sheet4">
    <tabColor theme="4" tint="-0.249977111117893"/>
  </sheetPr>
  <dimension ref="B6:W57"/>
  <sheetViews>
    <sheetView topLeftCell="A4" zoomScale="70" zoomScaleNormal="70" workbookViewId="0">
      <selection activeCell="T33" sqref="T33"/>
    </sheetView>
  </sheetViews>
  <sheetFormatPr defaultColWidth="9" defaultRowHeight="17.399999999999999" x14ac:dyDescent="0.4"/>
  <cols>
    <col min="1" max="16384" width="9" style="2"/>
  </cols>
  <sheetData>
    <row r="6" spans="2:2" ht="29.25" customHeight="1" x14ac:dyDescent="0.4"/>
    <row r="7" spans="2:2" ht="14.25" customHeight="1" x14ac:dyDescent="0.4"/>
    <row r="8" spans="2:2" ht="25.2" x14ac:dyDescent="0.4">
      <c r="B8" s="21" t="s">
        <v>39</v>
      </c>
    </row>
    <row r="25" spans="2:23" x14ac:dyDescent="0.4">
      <c r="U25" s="25"/>
      <c r="V25" s="25"/>
      <c r="W25" s="25"/>
    </row>
    <row r="29" spans="2:23" ht="25.2" x14ac:dyDescent="0.4">
      <c r="B29" s="21" t="s">
        <v>40</v>
      </c>
    </row>
    <row r="30" spans="2:23" ht="21" x14ac:dyDescent="0.4">
      <c r="C30" s="22" t="s">
        <v>41</v>
      </c>
    </row>
    <row r="31" spans="2:23" ht="21" x14ac:dyDescent="0.4">
      <c r="C31" s="22"/>
      <c r="D31" s="28" t="s">
        <v>56</v>
      </c>
    </row>
    <row r="32" spans="2:23" ht="21" x14ac:dyDescent="0.4">
      <c r="C32" s="22" t="s">
        <v>42</v>
      </c>
    </row>
    <row r="33" spans="3:4" ht="21" x14ac:dyDescent="0.4">
      <c r="C33" s="22"/>
      <c r="D33" s="28" t="s">
        <v>51</v>
      </c>
    </row>
    <row r="34" spans="3:4" ht="21" x14ac:dyDescent="0.4">
      <c r="C34" s="22" t="s">
        <v>50</v>
      </c>
    </row>
    <row r="35" spans="3:4" ht="21" x14ac:dyDescent="0.4">
      <c r="C35" s="22"/>
      <c r="D35" s="23" t="s">
        <v>43</v>
      </c>
    </row>
    <row r="36" spans="3:4" ht="21" x14ac:dyDescent="0.4">
      <c r="C36" s="22"/>
    </row>
    <row r="37" spans="3:4" ht="21" x14ac:dyDescent="0.4">
      <c r="C37" s="22"/>
    </row>
    <row r="56" spans="2:3" ht="25.2" x14ac:dyDescent="0.4">
      <c r="B56" s="21" t="s">
        <v>55</v>
      </c>
    </row>
    <row r="57" spans="2:3" ht="25.2" x14ac:dyDescent="0.4">
      <c r="C57" s="24" t="s">
        <v>44</v>
      </c>
    </row>
  </sheetData>
  <sheetProtection algorithmName="SHA-512" hashValue="z8PbgfKz65n2E2i3NSV+kuU26M+PFUbHGFNyFdOfYZs3m/jiPrQYPtE9yFaL/TE26smOX6w0+bbtZtj5A0Tkgw==" saltValue="9ZsU7+bRsH9a0eY7YfpV+Q==" spinCount="100000" sheet="1" objects="1" scenarios="1"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B00B-7FF4-4345-9E49-0A2AF6051FDB}">
  <sheetPr codeName="Sheet1">
    <tabColor theme="4" tint="-0.249977111117893"/>
  </sheetPr>
  <dimension ref="A1:CB169"/>
  <sheetViews>
    <sheetView topLeftCell="A5" zoomScaleNormal="100" workbookViewId="0">
      <selection activeCell="D43" sqref="D43"/>
    </sheetView>
  </sheetViews>
  <sheetFormatPr defaultRowHeight="17.399999999999999" x14ac:dyDescent="0.4"/>
  <cols>
    <col min="1" max="1" width="9.19921875" style="1" bestFit="1" customWidth="1"/>
    <col min="2" max="2" width="11.59765625" style="1" customWidth="1"/>
    <col min="3" max="3" width="13.69921875" style="1" customWidth="1"/>
    <col min="4" max="4" width="14.8984375" style="1" customWidth="1"/>
    <col min="5" max="5" width="18.09765625" style="3" customWidth="1"/>
    <col min="6" max="6" width="17" customWidth="1"/>
    <col min="7" max="8" width="9" style="2"/>
    <col min="9" max="9" width="10.3984375" style="2" customWidth="1"/>
    <col min="10" max="10" width="14.3984375" style="2" customWidth="1"/>
    <col min="11" max="11" width="23.59765625" style="2" customWidth="1"/>
    <col min="12" max="80" width="9" style="2"/>
  </cols>
  <sheetData>
    <row r="1" spans="1:11" s="2" customFormat="1" ht="35.25" customHeight="1" x14ac:dyDescent="0.4">
      <c r="A1" s="4"/>
      <c r="B1" s="4"/>
      <c r="C1" s="4"/>
      <c r="D1" s="4"/>
      <c r="E1" s="5"/>
    </row>
    <row r="2" spans="1:11" s="2" customFormat="1" ht="33.75" customHeight="1" x14ac:dyDescent="0.4">
      <c r="A2" s="4"/>
      <c r="B2" s="4"/>
      <c r="C2" s="4"/>
      <c r="D2" s="4"/>
      <c r="E2" s="5"/>
    </row>
    <row r="3" spans="1:11" s="2" customFormat="1" ht="10.5" customHeight="1" thickBot="1" x14ac:dyDescent="0.45">
      <c r="A3" s="4"/>
      <c r="B3" s="4"/>
      <c r="C3" s="4"/>
      <c r="D3" s="4"/>
      <c r="E3" s="5"/>
    </row>
    <row r="4" spans="1:11" ht="23.25" customHeight="1" thickBot="1" x14ac:dyDescent="0.45">
      <c r="A4" s="170" t="str">
        <f>J5&amp;" 사원명부"</f>
        <v>㈜한슬 사원명부</v>
      </c>
      <c r="B4" s="171"/>
      <c r="C4" s="171"/>
      <c r="D4" s="171"/>
      <c r="E4" s="171"/>
      <c r="F4" s="172"/>
      <c r="I4" s="169" t="s">
        <v>26</v>
      </c>
      <c r="J4" s="169"/>
      <c r="K4" s="169"/>
    </row>
    <row r="5" spans="1:11" ht="21" x14ac:dyDescent="0.4">
      <c r="A5" s="173"/>
      <c r="B5" s="174"/>
      <c r="C5" s="174"/>
      <c r="D5" s="174"/>
      <c r="E5" s="174"/>
      <c r="F5" s="175"/>
      <c r="I5" s="6" t="s">
        <v>22</v>
      </c>
      <c r="J5" s="176" t="s">
        <v>57</v>
      </c>
      <c r="K5" s="177"/>
    </row>
    <row r="6" spans="1:11" ht="21" x14ac:dyDescent="0.4">
      <c r="A6" s="178" t="s">
        <v>21</v>
      </c>
      <c r="B6" s="180" t="s">
        <v>33</v>
      </c>
      <c r="C6" s="182" t="s">
        <v>34</v>
      </c>
      <c r="D6" s="186" t="s">
        <v>29</v>
      </c>
      <c r="E6" s="184" t="s">
        <v>35</v>
      </c>
      <c r="F6" s="182" t="s">
        <v>36</v>
      </c>
      <c r="I6" s="6" t="s">
        <v>23</v>
      </c>
      <c r="J6" s="176" t="s">
        <v>58</v>
      </c>
      <c r="K6" s="177"/>
    </row>
    <row r="7" spans="1:11" ht="21.6" thickBot="1" x14ac:dyDescent="0.45">
      <c r="A7" s="179"/>
      <c r="B7" s="181"/>
      <c r="C7" s="183"/>
      <c r="D7" s="187"/>
      <c r="E7" s="185"/>
      <c r="F7" s="183"/>
      <c r="I7" s="6" t="s">
        <v>25</v>
      </c>
      <c r="J7" s="176">
        <v>536267805</v>
      </c>
      <c r="K7" s="177"/>
    </row>
    <row r="8" spans="1:11" ht="20.25" customHeight="1" x14ac:dyDescent="0.4">
      <c r="A8" s="11">
        <v>1</v>
      </c>
      <c r="B8" s="7" t="s">
        <v>60</v>
      </c>
      <c r="C8" s="13" t="s">
        <v>72</v>
      </c>
      <c r="D8" s="14" t="s">
        <v>77</v>
      </c>
      <c r="E8" s="15" t="s">
        <v>112</v>
      </c>
      <c r="F8" s="12"/>
      <c r="I8" s="167" t="s">
        <v>24</v>
      </c>
      <c r="J8" s="163" t="s">
        <v>59</v>
      </c>
      <c r="K8" s="164"/>
    </row>
    <row r="9" spans="1:11" ht="19.8" thickBot="1" x14ac:dyDescent="0.45">
      <c r="A9" s="8">
        <v>2</v>
      </c>
      <c r="B9" s="7" t="s">
        <v>60</v>
      </c>
      <c r="C9" s="13" t="s">
        <v>73</v>
      </c>
      <c r="D9" s="14" t="s">
        <v>78</v>
      </c>
      <c r="E9" s="15" t="s">
        <v>113</v>
      </c>
      <c r="F9" s="9"/>
      <c r="I9" s="168"/>
      <c r="J9" s="165"/>
      <c r="K9" s="166"/>
    </row>
    <row r="10" spans="1:11" ht="19.2" x14ac:dyDescent="0.4">
      <c r="A10" s="8">
        <v>3</v>
      </c>
      <c r="B10" s="7" t="s">
        <v>61</v>
      </c>
      <c r="C10" s="13" t="s">
        <v>74</v>
      </c>
      <c r="D10" s="14" t="s">
        <v>79</v>
      </c>
      <c r="E10" s="15" t="s">
        <v>114</v>
      </c>
      <c r="F10" s="9"/>
    </row>
    <row r="11" spans="1:11" ht="19.2" x14ac:dyDescent="0.4">
      <c r="A11" s="11">
        <v>4</v>
      </c>
      <c r="B11" s="7" t="s">
        <v>62</v>
      </c>
      <c r="C11" s="13" t="s">
        <v>74</v>
      </c>
      <c r="D11" s="14" t="s">
        <v>80</v>
      </c>
      <c r="E11" s="15" t="s">
        <v>115</v>
      </c>
      <c r="F11" s="9"/>
    </row>
    <row r="12" spans="1:11" ht="19.2" x14ac:dyDescent="0.4">
      <c r="A12" s="8">
        <v>5</v>
      </c>
      <c r="B12" s="7" t="s">
        <v>67</v>
      </c>
      <c r="C12" s="13" t="s">
        <v>72</v>
      </c>
      <c r="D12" s="14" t="s">
        <v>81</v>
      </c>
      <c r="E12" s="15" t="s">
        <v>116</v>
      </c>
      <c r="F12" s="9"/>
    </row>
    <row r="13" spans="1:11" ht="19.2" x14ac:dyDescent="0.4">
      <c r="A13" s="8">
        <v>6</v>
      </c>
      <c r="B13" s="7" t="s">
        <v>67</v>
      </c>
      <c r="C13" s="13" t="s">
        <v>73</v>
      </c>
      <c r="D13" s="14" t="s">
        <v>82</v>
      </c>
      <c r="E13" s="15" t="s">
        <v>117</v>
      </c>
      <c r="F13" s="9"/>
    </row>
    <row r="14" spans="1:11" ht="19.2" x14ac:dyDescent="0.4">
      <c r="A14" s="11">
        <v>7</v>
      </c>
      <c r="B14" s="7" t="s">
        <v>63</v>
      </c>
      <c r="C14" s="13" t="s">
        <v>72</v>
      </c>
      <c r="D14" s="14" t="s">
        <v>83</v>
      </c>
      <c r="E14" s="15" t="s">
        <v>101</v>
      </c>
      <c r="F14" s="9"/>
    </row>
    <row r="15" spans="1:11" ht="19.2" x14ac:dyDescent="0.4">
      <c r="A15" s="8">
        <v>8</v>
      </c>
      <c r="B15" s="7" t="s">
        <v>68</v>
      </c>
      <c r="C15" s="13" t="s">
        <v>73</v>
      </c>
      <c r="D15" s="14" t="s">
        <v>84</v>
      </c>
      <c r="E15" s="15" t="s">
        <v>102</v>
      </c>
      <c r="F15" s="9"/>
    </row>
    <row r="16" spans="1:11" ht="19.2" x14ac:dyDescent="0.4">
      <c r="A16" s="8">
        <v>9</v>
      </c>
      <c r="B16" s="7" t="s">
        <v>63</v>
      </c>
      <c r="C16" s="13" t="s">
        <v>72</v>
      </c>
      <c r="D16" s="14" t="s">
        <v>85</v>
      </c>
      <c r="E16" s="15" t="s">
        <v>103</v>
      </c>
      <c r="F16" s="9"/>
    </row>
    <row r="17" spans="1:6" ht="19.2" x14ac:dyDescent="0.4">
      <c r="A17" s="11">
        <v>10</v>
      </c>
      <c r="B17" s="7" t="s">
        <v>63</v>
      </c>
      <c r="C17" s="13" t="s">
        <v>74</v>
      </c>
      <c r="D17" s="14" t="s">
        <v>86</v>
      </c>
      <c r="E17" s="15" t="s">
        <v>118</v>
      </c>
      <c r="F17" s="9"/>
    </row>
    <row r="18" spans="1:6" ht="19.2" x14ac:dyDescent="0.4">
      <c r="A18" s="8">
        <v>11</v>
      </c>
      <c r="B18" s="7" t="s">
        <v>64</v>
      </c>
      <c r="C18" s="13" t="s">
        <v>74</v>
      </c>
      <c r="D18" s="14" t="s">
        <v>87</v>
      </c>
      <c r="E18" s="15" t="s">
        <v>119</v>
      </c>
      <c r="F18" s="9"/>
    </row>
    <row r="19" spans="1:6" ht="19.2" x14ac:dyDescent="0.4">
      <c r="A19" s="8">
        <v>12</v>
      </c>
      <c r="B19" s="7" t="s">
        <v>69</v>
      </c>
      <c r="C19" s="13" t="s">
        <v>76</v>
      </c>
      <c r="D19" s="14" t="s">
        <v>88</v>
      </c>
      <c r="E19" s="15" t="s">
        <v>104</v>
      </c>
      <c r="F19" s="9"/>
    </row>
    <row r="20" spans="1:6" ht="19.2" x14ac:dyDescent="0.4">
      <c r="A20" s="11">
        <v>13</v>
      </c>
      <c r="B20" s="7" t="s">
        <v>64</v>
      </c>
      <c r="C20" s="13" t="s">
        <v>74</v>
      </c>
      <c r="D20" s="14" t="s">
        <v>89</v>
      </c>
      <c r="E20" s="15" t="s">
        <v>105</v>
      </c>
      <c r="F20" s="9"/>
    </row>
    <row r="21" spans="1:6" ht="19.2" x14ac:dyDescent="0.4">
      <c r="A21" s="8">
        <v>14</v>
      </c>
      <c r="B21" s="7" t="s">
        <v>69</v>
      </c>
      <c r="C21" s="13" t="s">
        <v>76</v>
      </c>
      <c r="D21" s="14" t="s">
        <v>90</v>
      </c>
      <c r="E21" s="15" t="s">
        <v>106</v>
      </c>
      <c r="F21" s="9"/>
    </row>
    <row r="22" spans="1:6" ht="19.2" x14ac:dyDescent="0.4">
      <c r="A22" s="8">
        <v>15</v>
      </c>
      <c r="B22" s="7" t="s">
        <v>70</v>
      </c>
      <c r="C22" s="13" t="s">
        <v>75</v>
      </c>
      <c r="D22" s="14" t="s">
        <v>91</v>
      </c>
      <c r="E22" s="15" t="s">
        <v>105</v>
      </c>
      <c r="F22" s="9"/>
    </row>
    <row r="23" spans="1:6" ht="19.2" x14ac:dyDescent="0.4">
      <c r="A23" s="11">
        <v>16</v>
      </c>
      <c r="B23" s="7" t="s">
        <v>64</v>
      </c>
      <c r="C23" s="13" t="s">
        <v>76</v>
      </c>
      <c r="D23" s="14" t="s">
        <v>92</v>
      </c>
      <c r="E23" s="15" t="s">
        <v>107</v>
      </c>
      <c r="F23" s="9"/>
    </row>
    <row r="24" spans="1:6" ht="19.2" x14ac:dyDescent="0.4">
      <c r="A24" s="8">
        <v>17</v>
      </c>
      <c r="B24" s="7" t="s">
        <v>64</v>
      </c>
      <c r="C24" s="13" t="s">
        <v>74</v>
      </c>
      <c r="D24" s="14" t="s">
        <v>93</v>
      </c>
      <c r="E24" s="15" t="s">
        <v>108</v>
      </c>
      <c r="F24" s="9"/>
    </row>
    <row r="25" spans="1:6" ht="19.2" x14ac:dyDescent="0.4">
      <c r="A25" s="8">
        <v>18</v>
      </c>
      <c r="B25" s="7" t="s">
        <v>64</v>
      </c>
      <c r="C25" s="13" t="s">
        <v>74</v>
      </c>
      <c r="D25" s="14" t="s">
        <v>94</v>
      </c>
      <c r="E25" s="15" t="s">
        <v>109</v>
      </c>
      <c r="F25" s="9"/>
    </row>
    <row r="26" spans="1:6" ht="19.2" x14ac:dyDescent="0.4">
      <c r="A26" s="11">
        <v>19</v>
      </c>
      <c r="B26" s="7" t="s">
        <v>69</v>
      </c>
      <c r="C26" s="13" t="s">
        <v>76</v>
      </c>
      <c r="D26" s="14" t="s">
        <v>95</v>
      </c>
      <c r="E26" s="15" t="s">
        <v>120</v>
      </c>
      <c r="F26" s="9"/>
    </row>
    <row r="27" spans="1:6" ht="19.2" x14ac:dyDescent="0.4">
      <c r="A27" s="8">
        <v>20</v>
      </c>
      <c r="B27" s="7" t="s">
        <v>66</v>
      </c>
      <c r="C27" s="13" t="s">
        <v>71</v>
      </c>
      <c r="D27" s="14" t="s">
        <v>97</v>
      </c>
      <c r="E27" s="15" t="s">
        <v>110</v>
      </c>
      <c r="F27" s="9"/>
    </row>
    <row r="28" spans="1:6" ht="19.2" x14ac:dyDescent="0.4">
      <c r="A28" s="8">
        <v>21</v>
      </c>
      <c r="B28" s="7" t="s">
        <v>65</v>
      </c>
      <c r="C28" s="13" t="s">
        <v>73</v>
      </c>
      <c r="D28" s="14" t="s">
        <v>96</v>
      </c>
      <c r="E28" s="15" t="s">
        <v>111</v>
      </c>
      <c r="F28" s="9"/>
    </row>
    <row r="29" spans="1:6" ht="19.2" x14ac:dyDescent="0.4">
      <c r="A29" s="11">
        <v>22</v>
      </c>
      <c r="B29" s="7" t="s">
        <v>65</v>
      </c>
      <c r="C29" s="13" t="s">
        <v>72</v>
      </c>
      <c r="D29" s="14" t="s">
        <v>98</v>
      </c>
      <c r="E29" s="15" t="s">
        <v>121</v>
      </c>
      <c r="F29" s="9"/>
    </row>
    <row r="30" spans="1:6" ht="19.2" x14ac:dyDescent="0.4">
      <c r="A30" s="8">
        <v>23</v>
      </c>
      <c r="B30" s="7" t="s">
        <v>65</v>
      </c>
      <c r="C30" s="13" t="s">
        <v>73</v>
      </c>
      <c r="D30" s="14" t="s">
        <v>99</v>
      </c>
      <c r="E30" s="15" t="s">
        <v>122</v>
      </c>
      <c r="F30" s="9"/>
    </row>
    <row r="31" spans="1:6" ht="19.2" x14ac:dyDescent="0.4">
      <c r="A31" s="8">
        <v>24</v>
      </c>
      <c r="B31" s="7" t="s">
        <v>65</v>
      </c>
      <c r="C31" s="13" t="s">
        <v>72</v>
      </c>
      <c r="D31" s="14" t="s">
        <v>100</v>
      </c>
      <c r="E31" s="15" t="s">
        <v>123</v>
      </c>
      <c r="F31" s="9"/>
    </row>
    <row r="32" spans="1:6" ht="19.2" x14ac:dyDescent="0.4">
      <c r="A32" s="11">
        <v>25</v>
      </c>
      <c r="B32" s="7" t="s">
        <v>124</v>
      </c>
      <c r="C32" s="13" t="s">
        <v>130</v>
      </c>
      <c r="D32" s="14" t="s">
        <v>128</v>
      </c>
      <c r="E32" s="15">
        <v>45586</v>
      </c>
      <c r="F32" s="9"/>
    </row>
    <row r="33" spans="1:6" ht="19.2" x14ac:dyDescent="0.4">
      <c r="A33" s="8">
        <v>26</v>
      </c>
      <c r="B33" s="7" t="s">
        <v>124</v>
      </c>
      <c r="C33" s="13" t="s">
        <v>127</v>
      </c>
      <c r="D33" s="14" t="s">
        <v>129</v>
      </c>
      <c r="E33" s="15">
        <v>45663</v>
      </c>
      <c r="F33" s="9"/>
    </row>
    <row r="34" spans="1:6" ht="19.2" x14ac:dyDescent="0.4">
      <c r="A34" s="8">
        <v>27</v>
      </c>
      <c r="B34" s="7"/>
      <c r="C34" s="13"/>
      <c r="D34" s="14"/>
      <c r="E34" s="15"/>
      <c r="F34" s="9"/>
    </row>
    <row r="35" spans="1:6" ht="19.2" x14ac:dyDescent="0.4">
      <c r="A35" s="11">
        <v>28</v>
      </c>
      <c r="B35" s="7" t="s">
        <v>124</v>
      </c>
      <c r="C35" s="13" t="s">
        <v>130</v>
      </c>
      <c r="D35" s="14" t="s">
        <v>162</v>
      </c>
      <c r="E35" s="15">
        <v>45694</v>
      </c>
      <c r="F35" s="9"/>
    </row>
    <row r="36" spans="1:6" ht="19.2" x14ac:dyDescent="0.4">
      <c r="A36" s="8">
        <v>29</v>
      </c>
      <c r="B36" s="7"/>
      <c r="C36" s="13"/>
      <c r="D36" s="14"/>
      <c r="E36" s="15"/>
      <c r="F36" s="9"/>
    </row>
    <row r="37" spans="1:6" ht="19.2" x14ac:dyDescent="0.4">
      <c r="A37" s="8">
        <v>30</v>
      </c>
      <c r="B37" s="7"/>
      <c r="C37" s="13"/>
      <c r="D37" s="14"/>
      <c r="E37" s="15"/>
      <c r="F37" s="9"/>
    </row>
    <row r="38" spans="1:6" ht="19.2" x14ac:dyDescent="0.4">
      <c r="A38" s="8">
        <v>31</v>
      </c>
      <c r="B38" s="7"/>
      <c r="C38" s="13"/>
      <c r="D38" s="14"/>
      <c r="E38" s="15"/>
      <c r="F38" s="9"/>
    </row>
    <row r="39" spans="1:6" ht="19.2" x14ac:dyDescent="0.4">
      <c r="A39" s="8">
        <v>32</v>
      </c>
      <c r="B39" s="7"/>
      <c r="C39" s="13"/>
      <c r="D39" s="14"/>
      <c r="E39" s="15"/>
      <c r="F39" s="9"/>
    </row>
    <row r="40" spans="1:6" ht="19.2" x14ac:dyDescent="0.4">
      <c r="A40" s="8">
        <v>33</v>
      </c>
      <c r="B40" s="7"/>
      <c r="C40" s="13"/>
      <c r="D40" s="14"/>
      <c r="E40" s="15"/>
      <c r="F40" s="9"/>
    </row>
    <row r="41" spans="1:6" ht="19.2" x14ac:dyDescent="0.4">
      <c r="A41" s="8">
        <v>34</v>
      </c>
      <c r="B41" s="7"/>
      <c r="C41" s="13"/>
      <c r="D41" s="14"/>
      <c r="E41" s="15"/>
      <c r="F41" s="9"/>
    </row>
    <row r="42" spans="1:6" ht="19.2" x14ac:dyDescent="0.4">
      <c r="A42" s="8">
        <v>35</v>
      </c>
      <c r="B42" s="7"/>
      <c r="C42" s="13"/>
      <c r="D42" s="14"/>
      <c r="E42" s="15"/>
      <c r="F42" s="9"/>
    </row>
    <row r="43" spans="1:6" ht="19.2" x14ac:dyDescent="0.4">
      <c r="A43" s="8">
        <v>36</v>
      </c>
      <c r="B43" s="7"/>
      <c r="C43" s="13"/>
      <c r="D43" s="14"/>
      <c r="E43" s="15"/>
      <c r="F43" s="9"/>
    </row>
    <row r="44" spans="1:6" ht="19.2" x14ac:dyDescent="0.4">
      <c r="A44" s="8">
        <v>37</v>
      </c>
      <c r="B44" s="7"/>
      <c r="C44" s="13"/>
      <c r="D44" s="14"/>
      <c r="E44" s="15"/>
      <c r="F44" s="9"/>
    </row>
    <row r="45" spans="1:6" ht="19.2" x14ac:dyDescent="0.4">
      <c r="A45" s="8">
        <v>38</v>
      </c>
      <c r="B45" s="7"/>
      <c r="C45" s="13"/>
      <c r="D45" s="14"/>
      <c r="E45" s="15"/>
      <c r="F45" s="9"/>
    </row>
    <row r="46" spans="1:6" ht="19.2" x14ac:dyDescent="0.4">
      <c r="A46" s="8">
        <v>39</v>
      </c>
      <c r="B46" s="7"/>
      <c r="C46" s="13"/>
      <c r="D46" s="14"/>
      <c r="E46" s="15"/>
      <c r="F46" s="9"/>
    </row>
    <row r="47" spans="1:6" ht="19.2" x14ac:dyDescent="0.4">
      <c r="A47" s="8">
        <v>40</v>
      </c>
      <c r="B47" s="7"/>
      <c r="C47" s="13"/>
      <c r="D47" s="14"/>
      <c r="E47" s="15"/>
      <c r="F47" s="9"/>
    </row>
    <row r="48" spans="1:6" ht="19.2" x14ac:dyDescent="0.4">
      <c r="A48" s="8">
        <v>41</v>
      </c>
      <c r="B48" s="7"/>
      <c r="C48" s="13"/>
      <c r="D48" s="14"/>
      <c r="E48" s="15"/>
      <c r="F48" s="9"/>
    </row>
    <row r="49" spans="1:6" ht="19.2" x14ac:dyDescent="0.4">
      <c r="A49" s="8">
        <v>42</v>
      </c>
      <c r="B49" s="7"/>
      <c r="C49" s="13"/>
      <c r="D49" s="14"/>
      <c r="E49" s="15"/>
      <c r="F49" s="9"/>
    </row>
    <row r="50" spans="1:6" ht="19.2" x14ac:dyDescent="0.4">
      <c r="A50" s="8">
        <v>43</v>
      </c>
      <c r="B50" s="7"/>
      <c r="C50" s="13"/>
      <c r="D50" s="14"/>
      <c r="E50" s="15"/>
      <c r="F50" s="9"/>
    </row>
    <row r="51" spans="1:6" ht="19.2" x14ac:dyDescent="0.4">
      <c r="A51" s="8">
        <v>44</v>
      </c>
      <c r="B51" s="7"/>
      <c r="C51" s="13"/>
      <c r="D51" s="14"/>
      <c r="E51" s="15"/>
      <c r="F51" s="9"/>
    </row>
    <row r="52" spans="1:6" ht="19.2" x14ac:dyDescent="0.4">
      <c r="A52" s="8">
        <v>45</v>
      </c>
      <c r="B52" s="7"/>
      <c r="C52" s="13"/>
      <c r="D52" s="14"/>
      <c r="E52" s="15"/>
      <c r="F52" s="9"/>
    </row>
    <row r="53" spans="1:6" ht="19.2" x14ac:dyDescent="0.4">
      <c r="A53" s="8">
        <v>46</v>
      </c>
      <c r="B53" s="7"/>
      <c r="C53" s="13"/>
      <c r="D53" s="14"/>
      <c r="E53" s="15"/>
      <c r="F53" s="9"/>
    </row>
    <row r="54" spans="1:6" ht="19.2" x14ac:dyDescent="0.4">
      <c r="A54" s="8">
        <v>47</v>
      </c>
      <c r="B54" s="7"/>
      <c r="C54" s="13"/>
      <c r="D54" s="14"/>
      <c r="E54" s="15"/>
      <c r="F54" s="9"/>
    </row>
    <row r="55" spans="1:6" ht="19.2" x14ac:dyDescent="0.4">
      <c r="A55" s="8">
        <v>48</v>
      </c>
      <c r="B55" s="7"/>
      <c r="C55" s="13"/>
      <c r="D55" s="14"/>
      <c r="E55" s="15"/>
      <c r="F55" s="9"/>
    </row>
    <row r="56" spans="1:6" ht="19.2" x14ac:dyDescent="0.4">
      <c r="A56" s="8">
        <v>49</v>
      </c>
      <c r="B56" s="7"/>
      <c r="C56" s="13"/>
      <c r="D56" s="14"/>
      <c r="E56" s="15"/>
      <c r="F56" s="9"/>
    </row>
    <row r="57" spans="1:6" ht="19.2" x14ac:dyDescent="0.4">
      <c r="A57" s="8">
        <v>50</v>
      </c>
      <c r="B57" s="7"/>
      <c r="C57" s="13"/>
      <c r="D57" s="14"/>
      <c r="E57" s="15"/>
      <c r="F57" s="9"/>
    </row>
    <row r="58" spans="1:6" ht="19.2" x14ac:dyDescent="0.4">
      <c r="A58" s="8">
        <v>51</v>
      </c>
      <c r="B58" s="7"/>
      <c r="C58" s="13"/>
      <c r="D58" s="14"/>
      <c r="E58" s="15"/>
      <c r="F58" s="9"/>
    </row>
    <row r="59" spans="1:6" ht="19.2" x14ac:dyDescent="0.4">
      <c r="A59" s="8">
        <v>52</v>
      </c>
      <c r="B59" s="7"/>
      <c r="C59" s="13"/>
      <c r="D59" s="14"/>
      <c r="E59" s="15"/>
      <c r="F59" s="9"/>
    </row>
    <row r="60" spans="1:6" ht="19.2" x14ac:dyDescent="0.4">
      <c r="A60" s="8">
        <v>53</v>
      </c>
      <c r="B60" s="7"/>
      <c r="C60" s="13"/>
      <c r="D60" s="14"/>
      <c r="E60" s="15"/>
      <c r="F60" s="9"/>
    </row>
    <row r="61" spans="1:6" ht="19.2" x14ac:dyDescent="0.4">
      <c r="A61" s="8">
        <v>54</v>
      </c>
      <c r="B61" s="7"/>
      <c r="C61" s="13"/>
      <c r="D61" s="14"/>
      <c r="E61" s="15"/>
      <c r="F61" s="9"/>
    </row>
    <row r="62" spans="1:6" ht="19.2" x14ac:dyDescent="0.4">
      <c r="A62" s="8">
        <v>55</v>
      </c>
      <c r="B62" s="7"/>
      <c r="C62" s="13"/>
      <c r="D62" s="14"/>
      <c r="E62" s="15"/>
      <c r="F62" s="9"/>
    </row>
    <row r="63" spans="1:6" ht="19.2" x14ac:dyDescent="0.4">
      <c r="A63" s="8">
        <v>56</v>
      </c>
      <c r="B63" s="7"/>
      <c r="C63" s="13"/>
      <c r="D63" s="14"/>
      <c r="E63" s="15"/>
      <c r="F63" s="9"/>
    </row>
    <row r="64" spans="1:6" ht="19.2" x14ac:dyDescent="0.4">
      <c r="A64" s="8">
        <v>57</v>
      </c>
      <c r="B64" s="7"/>
      <c r="C64" s="13"/>
      <c r="D64" s="14"/>
      <c r="E64" s="15"/>
      <c r="F64" s="9"/>
    </row>
    <row r="65" spans="1:6" ht="19.2" x14ac:dyDescent="0.4">
      <c r="A65" s="8">
        <v>58</v>
      </c>
      <c r="B65" s="7"/>
      <c r="C65" s="13"/>
      <c r="D65" s="14"/>
      <c r="E65" s="15"/>
      <c r="F65" s="9"/>
    </row>
    <row r="66" spans="1:6" ht="19.2" x14ac:dyDescent="0.4">
      <c r="A66" s="8">
        <v>59</v>
      </c>
      <c r="B66" s="7"/>
      <c r="C66" s="13"/>
      <c r="D66" s="14"/>
      <c r="E66" s="15"/>
      <c r="F66" s="9"/>
    </row>
    <row r="67" spans="1:6" ht="19.2" x14ac:dyDescent="0.4">
      <c r="A67" s="8">
        <v>60</v>
      </c>
      <c r="B67" s="7"/>
      <c r="C67" s="13"/>
      <c r="D67" s="14"/>
      <c r="E67" s="15"/>
      <c r="F67" s="9"/>
    </row>
    <row r="68" spans="1:6" ht="19.2" x14ac:dyDescent="0.4">
      <c r="A68" s="8">
        <v>61</v>
      </c>
      <c r="B68" s="7"/>
      <c r="C68" s="13"/>
      <c r="D68" s="14"/>
      <c r="E68" s="15"/>
      <c r="F68" s="9"/>
    </row>
    <row r="69" spans="1:6" ht="19.2" x14ac:dyDescent="0.4">
      <c r="A69" s="8">
        <v>62</v>
      </c>
      <c r="B69" s="7"/>
      <c r="C69" s="13"/>
      <c r="D69" s="14"/>
      <c r="E69" s="15"/>
      <c r="F69" s="9"/>
    </row>
    <row r="70" spans="1:6" ht="19.2" x14ac:dyDescent="0.4">
      <c r="A70" s="8">
        <v>63</v>
      </c>
      <c r="B70" s="7"/>
      <c r="C70" s="13"/>
      <c r="D70" s="14"/>
      <c r="E70" s="15"/>
      <c r="F70" s="9"/>
    </row>
    <row r="71" spans="1:6" ht="19.2" x14ac:dyDescent="0.4">
      <c r="A71" s="8">
        <v>64</v>
      </c>
      <c r="B71" s="7"/>
      <c r="C71" s="13"/>
      <c r="D71" s="14"/>
      <c r="E71" s="15"/>
      <c r="F71" s="9"/>
    </row>
    <row r="72" spans="1:6" ht="19.2" x14ac:dyDescent="0.4">
      <c r="A72" s="8">
        <v>65</v>
      </c>
      <c r="B72" s="7"/>
      <c r="C72" s="13"/>
      <c r="D72" s="14"/>
      <c r="E72" s="15"/>
      <c r="F72" s="9"/>
    </row>
    <row r="73" spans="1:6" ht="19.2" x14ac:dyDescent="0.4">
      <c r="A73" s="8">
        <v>66</v>
      </c>
      <c r="B73" s="7"/>
      <c r="C73" s="13"/>
      <c r="D73" s="14"/>
      <c r="E73" s="15"/>
      <c r="F73" s="9"/>
    </row>
    <row r="74" spans="1:6" ht="19.2" x14ac:dyDescent="0.4">
      <c r="A74" s="8">
        <v>67</v>
      </c>
      <c r="B74" s="7"/>
      <c r="C74" s="13"/>
      <c r="D74" s="14"/>
      <c r="E74" s="15"/>
      <c r="F74" s="9"/>
    </row>
    <row r="75" spans="1:6" ht="19.2" x14ac:dyDescent="0.4">
      <c r="A75" s="8">
        <v>68</v>
      </c>
      <c r="B75" s="7"/>
      <c r="C75" s="13"/>
      <c r="D75" s="14"/>
      <c r="E75" s="15"/>
      <c r="F75" s="9"/>
    </row>
    <row r="76" spans="1:6" ht="19.2" x14ac:dyDescent="0.4">
      <c r="A76" s="8">
        <v>69</v>
      </c>
      <c r="B76" s="7"/>
      <c r="C76" s="13"/>
      <c r="D76" s="14"/>
      <c r="E76" s="15"/>
      <c r="F76" s="9"/>
    </row>
    <row r="77" spans="1:6" ht="19.2" x14ac:dyDescent="0.4">
      <c r="A77" s="8">
        <v>70</v>
      </c>
      <c r="B77" s="7"/>
      <c r="C77" s="13"/>
      <c r="D77" s="14"/>
      <c r="E77" s="15"/>
      <c r="F77" s="9"/>
    </row>
    <row r="78" spans="1:6" ht="19.2" x14ac:dyDescent="0.4">
      <c r="A78" s="8">
        <v>71</v>
      </c>
      <c r="B78" s="7"/>
      <c r="C78" s="13"/>
      <c r="D78" s="14"/>
      <c r="E78" s="15"/>
      <c r="F78" s="9"/>
    </row>
    <row r="79" spans="1:6" ht="19.2" x14ac:dyDescent="0.4">
      <c r="A79" s="8">
        <v>72</v>
      </c>
      <c r="B79" s="7"/>
      <c r="C79" s="13"/>
      <c r="D79" s="14"/>
      <c r="E79" s="15"/>
      <c r="F79" s="9"/>
    </row>
    <row r="80" spans="1:6" ht="19.2" x14ac:dyDescent="0.4">
      <c r="A80" s="8">
        <v>73</v>
      </c>
      <c r="B80" s="7"/>
      <c r="C80" s="13"/>
      <c r="D80" s="14"/>
      <c r="E80" s="15"/>
      <c r="F80" s="9"/>
    </row>
    <row r="81" spans="1:6" ht="19.2" x14ac:dyDescent="0.4">
      <c r="A81" s="8">
        <v>74</v>
      </c>
      <c r="B81" s="7"/>
      <c r="C81" s="13"/>
      <c r="D81" s="14"/>
      <c r="E81" s="15"/>
      <c r="F81" s="9"/>
    </row>
    <row r="82" spans="1:6" ht="19.2" x14ac:dyDescent="0.4">
      <c r="A82" s="8">
        <v>75</v>
      </c>
      <c r="B82" s="7"/>
      <c r="C82" s="13"/>
      <c r="D82" s="14"/>
      <c r="E82" s="15"/>
      <c r="F82" s="9"/>
    </row>
    <row r="83" spans="1:6" ht="19.2" x14ac:dyDescent="0.4">
      <c r="A83" s="8">
        <v>76</v>
      </c>
      <c r="B83" s="7"/>
      <c r="C83" s="13"/>
      <c r="D83" s="14"/>
      <c r="E83" s="15"/>
      <c r="F83" s="9"/>
    </row>
    <row r="84" spans="1:6" ht="19.2" x14ac:dyDescent="0.4">
      <c r="A84" s="8">
        <v>77</v>
      </c>
      <c r="B84" s="7"/>
      <c r="C84" s="13"/>
      <c r="D84" s="14"/>
      <c r="E84" s="15"/>
      <c r="F84" s="9"/>
    </row>
    <row r="85" spans="1:6" ht="19.2" x14ac:dyDescent="0.4">
      <c r="A85" s="8">
        <v>78</v>
      </c>
      <c r="B85" s="7"/>
      <c r="C85" s="13"/>
      <c r="D85" s="14"/>
      <c r="E85" s="15"/>
      <c r="F85" s="9"/>
    </row>
    <row r="86" spans="1:6" ht="19.2" x14ac:dyDescent="0.4">
      <c r="A86" s="8">
        <v>79</v>
      </c>
      <c r="B86" s="7"/>
      <c r="C86" s="13"/>
      <c r="D86" s="14"/>
      <c r="E86" s="15"/>
      <c r="F86" s="9"/>
    </row>
    <row r="87" spans="1:6" ht="19.2" x14ac:dyDescent="0.4">
      <c r="A87" s="8">
        <v>80</v>
      </c>
      <c r="B87" s="7"/>
      <c r="C87" s="13"/>
      <c r="D87" s="14"/>
      <c r="E87" s="15"/>
      <c r="F87" s="9"/>
    </row>
    <row r="88" spans="1:6" ht="19.2" x14ac:dyDescent="0.4">
      <c r="A88" s="8">
        <v>81</v>
      </c>
      <c r="B88" s="7"/>
      <c r="C88" s="13"/>
      <c r="D88" s="14"/>
      <c r="E88" s="15"/>
      <c r="F88" s="9"/>
    </row>
    <row r="89" spans="1:6" ht="19.2" x14ac:dyDescent="0.4">
      <c r="A89" s="8">
        <v>82</v>
      </c>
      <c r="B89" s="7"/>
      <c r="C89" s="13"/>
      <c r="D89" s="14"/>
      <c r="E89" s="15"/>
      <c r="F89" s="9"/>
    </row>
    <row r="90" spans="1:6" ht="19.2" x14ac:dyDescent="0.4">
      <c r="A90" s="8">
        <v>83</v>
      </c>
      <c r="B90" s="7"/>
      <c r="C90" s="13"/>
      <c r="D90" s="14"/>
      <c r="E90" s="15"/>
      <c r="F90" s="9"/>
    </row>
    <row r="91" spans="1:6" ht="19.2" x14ac:dyDescent="0.4">
      <c r="A91" s="8">
        <v>84</v>
      </c>
      <c r="B91" s="7"/>
      <c r="C91" s="13"/>
      <c r="D91" s="14"/>
      <c r="E91" s="15"/>
      <c r="F91" s="9"/>
    </row>
    <row r="92" spans="1:6" ht="19.2" x14ac:dyDescent="0.4">
      <c r="A92" s="8">
        <v>85</v>
      </c>
      <c r="B92" s="7"/>
      <c r="C92" s="13"/>
      <c r="D92" s="14"/>
      <c r="E92" s="15"/>
      <c r="F92" s="9"/>
    </row>
    <row r="93" spans="1:6" ht="19.2" x14ac:dyDescent="0.4">
      <c r="A93" s="8">
        <v>86</v>
      </c>
      <c r="B93" s="7"/>
      <c r="C93" s="13"/>
      <c r="D93" s="14"/>
      <c r="E93" s="15"/>
      <c r="F93" s="9"/>
    </row>
    <row r="94" spans="1:6" ht="19.2" x14ac:dyDescent="0.4">
      <c r="A94" s="8">
        <v>87</v>
      </c>
      <c r="B94" s="7"/>
      <c r="C94" s="13"/>
      <c r="D94" s="14"/>
      <c r="E94" s="15"/>
      <c r="F94" s="9"/>
    </row>
    <row r="95" spans="1:6" ht="19.2" x14ac:dyDescent="0.4">
      <c r="A95" s="8">
        <v>88</v>
      </c>
      <c r="B95" s="7"/>
      <c r="C95" s="13"/>
      <c r="D95" s="14"/>
      <c r="E95" s="15"/>
      <c r="F95" s="9"/>
    </row>
    <row r="96" spans="1:6" ht="19.2" x14ac:dyDescent="0.4">
      <c r="A96" s="8">
        <v>89</v>
      </c>
      <c r="B96" s="7"/>
      <c r="C96" s="13"/>
      <c r="D96" s="14"/>
      <c r="E96" s="15"/>
      <c r="F96" s="9"/>
    </row>
    <row r="97" spans="1:6" ht="19.2" x14ac:dyDescent="0.4">
      <c r="A97" s="8">
        <v>90</v>
      </c>
      <c r="B97" s="7"/>
      <c r="C97" s="13"/>
      <c r="D97" s="14"/>
      <c r="E97" s="15"/>
      <c r="F97" s="9"/>
    </row>
    <row r="98" spans="1:6" ht="19.2" x14ac:dyDescent="0.4">
      <c r="A98" s="8">
        <v>91</v>
      </c>
      <c r="B98" s="7"/>
      <c r="C98" s="13"/>
      <c r="D98" s="14"/>
      <c r="E98" s="15"/>
      <c r="F98" s="9"/>
    </row>
    <row r="99" spans="1:6" ht="19.2" x14ac:dyDescent="0.4">
      <c r="A99" s="8">
        <v>92</v>
      </c>
      <c r="B99" s="7"/>
      <c r="C99" s="13"/>
      <c r="D99" s="14"/>
      <c r="E99" s="15"/>
      <c r="F99" s="9"/>
    </row>
    <row r="100" spans="1:6" ht="19.2" x14ac:dyDescent="0.4">
      <c r="A100" s="8">
        <v>93</v>
      </c>
      <c r="B100" s="7"/>
      <c r="C100" s="13"/>
      <c r="D100" s="14"/>
      <c r="E100" s="15"/>
      <c r="F100" s="9"/>
    </row>
    <row r="101" spans="1:6" ht="19.2" x14ac:dyDescent="0.4">
      <c r="A101" s="8">
        <v>94</v>
      </c>
      <c r="B101" s="7"/>
      <c r="C101" s="13"/>
      <c r="D101" s="14"/>
      <c r="E101" s="15"/>
      <c r="F101" s="9"/>
    </row>
    <row r="102" spans="1:6" ht="19.2" x14ac:dyDescent="0.4">
      <c r="A102" s="8">
        <v>95</v>
      </c>
      <c r="B102" s="7"/>
      <c r="C102" s="13"/>
      <c r="D102" s="14"/>
      <c r="E102" s="15"/>
      <c r="F102" s="9"/>
    </row>
    <row r="103" spans="1:6" ht="19.2" x14ac:dyDescent="0.4">
      <c r="A103" s="8">
        <v>96</v>
      </c>
      <c r="B103" s="7"/>
      <c r="C103" s="13"/>
      <c r="D103" s="14"/>
      <c r="E103" s="15"/>
      <c r="F103" s="9"/>
    </row>
    <row r="104" spans="1:6" ht="19.2" x14ac:dyDescent="0.4">
      <c r="A104" s="8">
        <v>97</v>
      </c>
      <c r="B104" s="7"/>
      <c r="C104" s="13"/>
      <c r="D104" s="14"/>
      <c r="E104" s="15"/>
      <c r="F104" s="9"/>
    </row>
    <row r="105" spans="1:6" ht="19.2" x14ac:dyDescent="0.4">
      <c r="A105" s="8">
        <v>98</v>
      </c>
      <c r="B105" s="7"/>
      <c r="C105" s="13"/>
      <c r="D105" s="14"/>
      <c r="E105" s="15"/>
      <c r="F105" s="9"/>
    </row>
    <row r="106" spans="1:6" ht="19.2" x14ac:dyDescent="0.4">
      <c r="A106" s="8">
        <v>99</v>
      </c>
      <c r="B106" s="7"/>
      <c r="C106" s="13"/>
      <c r="D106" s="14"/>
      <c r="E106" s="15"/>
      <c r="F106" s="9"/>
    </row>
    <row r="107" spans="1:6" ht="19.8" thickBot="1" x14ac:dyDescent="0.45">
      <c r="A107" s="10">
        <v>100</v>
      </c>
      <c r="B107" s="16"/>
      <c r="C107" s="17"/>
      <c r="D107" s="18"/>
      <c r="E107" s="19"/>
      <c r="F107" s="20"/>
    </row>
    <row r="108" spans="1:6" x14ac:dyDescent="0.4">
      <c r="A108" s="4"/>
      <c r="B108" s="4"/>
      <c r="C108" s="4"/>
      <c r="D108" s="4"/>
      <c r="E108" s="5"/>
      <c r="F108" s="2"/>
    </row>
    <row r="109" spans="1:6" x14ac:dyDescent="0.4">
      <c r="A109" s="4"/>
      <c r="B109" s="4"/>
      <c r="C109" s="4"/>
      <c r="D109" s="4"/>
      <c r="E109" s="5"/>
      <c r="F109" s="2"/>
    </row>
    <row r="110" spans="1:6" x14ac:dyDescent="0.4">
      <c r="A110" s="4"/>
      <c r="B110" s="4"/>
      <c r="C110" s="4"/>
      <c r="D110" s="4"/>
      <c r="E110" s="5"/>
      <c r="F110" s="2"/>
    </row>
    <row r="111" spans="1:6" x14ac:dyDescent="0.4">
      <c r="A111" s="4"/>
      <c r="B111" s="4"/>
      <c r="C111" s="4"/>
      <c r="D111" s="4"/>
      <c r="E111" s="5"/>
      <c r="F111" s="2"/>
    </row>
    <row r="112" spans="1:6" x14ac:dyDescent="0.4">
      <c r="A112" s="4"/>
      <c r="B112" s="4"/>
      <c r="C112" s="4"/>
      <c r="D112" s="4"/>
      <c r="E112" s="5"/>
      <c r="F112" s="2"/>
    </row>
    <row r="113" spans="1:6" x14ac:dyDescent="0.4">
      <c r="A113" s="4"/>
      <c r="B113" s="4"/>
      <c r="C113" s="4"/>
      <c r="D113" s="4"/>
      <c r="E113" s="5"/>
      <c r="F113" s="2"/>
    </row>
    <row r="114" spans="1:6" x14ac:dyDescent="0.4">
      <c r="A114" s="4"/>
      <c r="B114" s="4"/>
      <c r="C114" s="4"/>
      <c r="D114" s="4"/>
      <c r="E114" s="5"/>
      <c r="F114" s="2"/>
    </row>
    <row r="115" spans="1:6" x14ac:dyDescent="0.4">
      <c r="A115" s="4"/>
      <c r="B115" s="4"/>
      <c r="C115" s="4"/>
      <c r="D115" s="4"/>
      <c r="E115" s="5"/>
      <c r="F115" s="2"/>
    </row>
    <row r="116" spans="1:6" x14ac:dyDescent="0.4">
      <c r="A116" s="4"/>
      <c r="B116" s="4"/>
      <c r="C116" s="4"/>
      <c r="D116" s="4"/>
      <c r="E116" s="5"/>
      <c r="F116" s="2"/>
    </row>
    <row r="117" spans="1:6" x14ac:dyDescent="0.4">
      <c r="A117" s="4"/>
      <c r="B117" s="4"/>
      <c r="C117" s="4"/>
      <c r="D117" s="4"/>
      <c r="E117" s="5"/>
      <c r="F117" s="2"/>
    </row>
    <row r="118" spans="1:6" x14ac:dyDescent="0.4">
      <c r="A118" s="4"/>
      <c r="B118" s="4"/>
      <c r="C118" s="4"/>
      <c r="D118" s="4"/>
      <c r="E118" s="5"/>
      <c r="F118" s="2"/>
    </row>
    <row r="119" spans="1:6" x14ac:dyDescent="0.4">
      <c r="A119" s="4"/>
      <c r="B119" s="4"/>
      <c r="C119" s="4"/>
      <c r="D119" s="4"/>
      <c r="E119" s="5"/>
      <c r="F119" s="2"/>
    </row>
    <row r="120" spans="1:6" x14ac:dyDescent="0.4">
      <c r="A120" s="4"/>
      <c r="B120" s="4"/>
      <c r="C120" s="4"/>
      <c r="D120" s="4"/>
      <c r="E120" s="5"/>
      <c r="F120" s="2"/>
    </row>
    <row r="121" spans="1:6" x14ac:dyDescent="0.4">
      <c r="A121" s="4"/>
      <c r="B121" s="4"/>
      <c r="C121" s="4"/>
      <c r="D121" s="4"/>
      <c r="E121" s="5"/>
      <c r="F121" s="2"/>
    </row>
    <row r="122" spans="1:6" x14ac:dyDescent="0.4">
      <c r="A122" s="4"/>
      <c r="B122" s="4"/>
      <c r="C122" s="4"/>
      <c r="D122" s="4"/>
      <c r="E122" s="5"/>
      <c r="F122" s="2"/>
    </row>
    <row r="123" spans="1:6" x14ac:dyDescent="0.4">
      <c r="A123" s="4"/>
      <c r="B123" s="4"/>
      <c r="C123" s="4"/>
      <c r="D123" s="4"/>
      <c r="E123" s="5"/>
      <c r="F123" s="2"/>
    </row>
    <row r="124" spans="1:6" x14ac:dyDescent="0.4">
      <c r="A124" s="4"/>
      <c r="B124" s="4"/>
      <c r="C124" s="4"/>
      <c r="D124" s="4"/>
      <c r="E124" s="5"/>
      <c r="F124" s="2"/>
    </row>
    <row r="125" spans="1:6" x14ac:dyDescent="0.4">
      <c r="A125" s="4"/>
      <c r="B125" s="4"/>
      <c r="C125" s="4"/>
      <c r="D125" s="4"/>
      <c r="E125" s="5"/>
      <c r="F125" s="2"/>
    </row>
    <row r="126" spans="1:6" x14ac:dyDescent="0.4">
      <c r="A126" s="4"/>
      <c r="B126" s="4"/>
      <c r="C126" s="4"/>
      <c r="D126" s="4"/>
      <c r="E126" s="5"/>
      <c r="F126" s="2"/>
    </row>
    <row r="127" spans="1:6" x14ac:dyDescent="0.4">
      <c r="A127" s="4"/>
      <c r="B127" s="4"/>
      <c r="C127" s="4"/>
      <c r="D127" s="4"/>
      <c r="E127" s="5"/>
      <c r="F127" s="2"/>
    </row>
    <row r="128" spans="1:6" x14ac:dyDescent="0.4">
      <c r="A128" s="4"/>
      <c r="B128" s="4"/>
      <c r="C128" s="4"/>
      <c r="D128" s="4"/>
      <c r="E128" s="5"/>
      <c r="F128" s="2"/>
    </row>
    <row r="129" spans="1:6" x14ac:dyDescent="0.4">
      <c r="A129" s="4"/>
      <c r="B129" s="4"/>
      <c r="C129" s="4"/>
      <c r="D129" s="4"/>
      <c r="E129" s="5"/>
      <c r="F129" s="2"/>
    </row>
    <row r="130" spans="1:6" x14ac:dyDescent="0.4">
      <c r="A130" s="4"/>
      <c r="B130" s="4"/>
      <c r="C130" s="4"/>
      <c r="D130" s="4"/>
      <c r="E130" s="5"/>
      <c r="F130" s="2"/>
    </row>
    <row r="131" spans="1:6" x14ac:dyDescent="0.4">
      <c r="A131" s="4"/>
      <c r="B131" s="4"/>
      <c r="C131" s="4"/>
      <c r="D131" s="4"/>
      <c r="E131" s="5"/>
      <c r="F131" s="2"/>
    </row>
    <row r="132" spans="1:6" x14ac:dyDescent="0.4">
      <c r="A132" s="4"/>
      <c r="B132" s="4"/>
      <c r="C132" s="4"/>
      <c r="D132" s="4"/>
      <c r="E132" s="5"/>
      <c r="F132" s="2"/>
    </row>
    <row r="133" spans="1:6" x14ac:dyDescent="0.4">
      <c r="A133" s="4"/>
      <c r="B133" s="4"/>
      <c r="C133" s="4"/>
      <c r="D133" s="4"/>
      <c r="E133" s="5"/>
      <c r="F133" s="2"/>
    </row>
    <row r="134" spans="1:6" x14ac:dyDescent="0.4">
      <c r="A134" s="4"/>
      <c r="B134" s="4"/>
      <c r="C134" s="4"/>
      <c r="D134" s="4"/>
      <c r="E134" s="5"/>
      <c r="F134" s="2"/>
    </row>
    <row r="135" spans="1:6" x14ac:dyDescent="0.4">
      <c r="A135" s="4"/>
      <c r="B135" s="4"/>
      <c r="C135" s="4"/>
      <c r="D135" s="4"/>
      <c r="E135" s="5"/>
      <c r="F135" s="2"/>
    </row>
    <row r="136" spans="1:6" x14ac:dyDescent="0.4">
      <c r="A136" s="4"/>
      <c r="B136" s="4"/>
      <c r="C136" s="4"/>
      <c r="D136" s="4"/>
      <c r="E136" s="5"/>
      <c r="F136" s="2"/>
    </row>
    <row r="137" spans="1:6" x14ac:dyDescent="0.4">
      <c r="A137" s="4"/>
      <c r="B137" s="4"/>
      <c r="C137" s="4"/>
      <c r="D137" s="4"/>
      <c r="E137" s="5"/>
      <c r="F137" s="2"/>
    </row>
    <row r="138" spans="1:6" x14ac:dyDescent="0.4">
      <c r="A138" s="4"/>
      <c r="B138" s="4"/>
      <c r="C138" s="4"/>
      <c r="D138" s="4"/>
      <c r="E138" s="5"/>
      <c r="F138" s="2"/>
    </row>
    <row r="139" spans="1:6" x14ac:dyDescent="0.4">
      <c r="A139" s="4"/>
      <c r="B139" s="4"/>
      <c r="C139" s="4"/>
      <c r="D139" s="4"/>
      <c r="E139" s="5"/>
      <c r="F139" s="2"/>
    </row>
    <row r="140" spans="1:6" x14ac:dyDescent="0.4">
      <c r="A140" s="4"/>
      <c r="B140" s="4"/>
      <c r="C140" s="4"/>
      <c r="D140" s="4"/>
      <c r="E140" s="5"/>
      <c r="F140" s="2"/>
    </row>
    <row r="141" spans="1:6" x14ac:dyDescent="0.4">
      <c r="A141" s="4"/>
      <c r="B141" s="4"/>
      <c r="C141" s="4"/>
      <c r="D141" s="4"/>
      <c r="E141" s="5"/>
      <c r="F141" s="2"/>
    </row>
    <row r="142" spans="1:6" x14ac:dyDescent="0.4">
      <c r="A142" s="4"/>
      <c r="B142" s="4"/>
      <c r="C142" s="4"/>
      <c r="D142" s="4"/>
      <c r="E142" s="5"/>
      <c r="F142" s="2"/>
    </row>
    <row r="143" spans="1:6" x14ac:dyDescent="0.4">
      <c r="A143" s="4"/>
      <c r="B143" s="4"/>
      <c r="C143" s="4"/>
      <c r="D143" s="4"/>
      <c r="E143" s="5"/>
      <c r="F143" s="2"/>
    </row>
    <row r="144" spans="1:6" x14ac:dyDescent="0.4">
      <c r="A144" s="4"/>
      <c r="B144" s="4"/>
      <c r="C144" s="4"/>
      <c r="D144" s="4"/>
      <c r="E144" s="5"/>
      <c r="F144" s="2"/>
    </row>
    <row r="145" spans="1:6" x14ac:dyDescent="0.4">
      <c r="A145" s="4"/>
      <c r="B145" s="4"/>
      <c r="C145" s="4"/>
      <c r="D145" s="4"/>
      <c r="E145" s="5"/>
      <c r="F145" s="2"/>
    </row>
    <row r="146" spans="1:6" x14ac:dyDescent="0.4">
      <c r="A146" s="4"/>
      <c r="B146" s="4"/>
      <c r="C146" s="4"/>
      <c r="D146" s="4"/>
      <c r="E146" s="5"/>
      <c r="F146" s="2"/>
    </row>
    <row r="147" spans="1:6" x14ac:dyDescent="0.4">
      <c r="A147" s="4"/>
      <c r="B147" s="4"/>
      <c r="C147" s="4"/>
      <c r="D147" s="4"/>
      <c r="E147" s="5"/>
      <c r="F147" s="2"/>
    </row>
    <row r="148" spans="1:6" x14ac:dyDescent="0.4">
      <c r="A148" s="4"/>
      <c r="B148" s="4"/>
      <c r="C148" s="4"/>
      <c r="D148" s="4"/>
      <c r="E148" s="5"/>
      <c r="F148" s="2"/>
    </row>
    <row r="149" spans="1:6" x14ac:dyDescent="0.4">
      <c r="A149" s="4"/>
      <c r="B149" s="4"/>
      <c r="C149" s="4"/>
      <c r="D149" s="4"/>
      <c r="E149" s="5"/>
      <c r="F149" s="2"/>
    </row>
    <row r="150" spans="1:6" x14ac:dyDescent="0.4">
      <c r="A150" s="4"/>
      <c r="B150" s="4"/>
      <c r="C150" s="4"/>
      <c r="D150" s="4"/>
      <c r="E150" s="5"/>
      <c r="F150" s="2"/>
    </row>
    <row r="151" spans="1:6" x14ac:dyDescent="0.4">
      <c r="A151" s="4"/>
      <c r="B151" s="4"/>
      <c r="C151" s="4"/>
      <c r="D151" s="4"/>
      <c r="E151" s="5"/>
      <c r="F151" s="2"/>
    </row>
    <row r="152" spans="1:6" x14ac:dyDescent="0.4">
      <c r="A152" s="4"/>
      <c r="B152" s="4"/>
      <c r="C152" s="4"/>
      <c r="D152" s="4"/>
      <c r="E152" s="5"/>
      <c r="F152" s="2"/>
    </row>
    <row r="153" spans="1:6" x14ac:dyDescent="0.4">
      <c r="A153" s="4"/>
      <c r="B153" s="4"/>
      <c r="C153" s="4"/>
      <c r="D153" s="4"/>
      <c r="E153" s="5"/>
      <c r="F153" s="2"/>
    </row>
    <row r="154" spans="1:6" x14ac:dyDescent="0.4">
      <c r="A154" s="4"/>
      <c r="B154" s="4"/>
      <c r="C154" s="4"/>
      <c r="D154" s="4"/>
      <c r="E154" s="5"/>
      <c r="F154" s="2"/>
    </row>
    <row r="155" spans="1:6" x14ac:dyDescent="0.4">
      <c r="A155" s="4"/>
      <c r="B155" s="4"/>
      <c r="C155" s="4"/>
      <c r="D155" s="4"/>
      <c r="E155" s="5"/>
      <c r="F155" s="2"/>
    </row>
    <row r="156" spans="1:6" x14ac:dyDescent="0.4">
      <c r="A156" s="4"/>
      <c r="B156" s="4"/>
      <c r="C156" s="4"/>
      <c r="D156" s="4"/>
      <c r="E156" s="5"/>
      <c r="F156" s="2"/>
    </row>
    <row r="157" spans="1:6" x14ac:dyDescent="0.4">
      <c r="A157" s="4"/>
      <c r="B157" s="4"/>
      <c r="C157" s="4"/>
      <c r="D157" s="4"/>
      <c r="E157" s="5"/>
      <c r="F157" s="2"/>
    </row>
    <row r="158" spans="1:6" x14ac:dyDescent="0.4">
      <c r="A158" s="4"/>
      <c r="B158" s="4"/>
      <c r="C158" s="4"/>
      <c r="D158" s="4"/>
      <c r="E158" s="5"/>
      <c r="F158" s="2"/>
    </row>
    <row r="159" spans="1:6" x14ac:dyDescent="0.4">
      <c r="A159" s="4"/>
      <c r="B159" s="4"/>
      <c r="C159" s="4"/>
      <c r="D159" s="4"/>
      <c r="E159" s="5"/>
      <c r="F159" s="2"/>
    </row>
    <row r="160" spans="1:6" x14ac:dyDescent="0.4">
      <c r="A160" s="4"/>
      <c r="B160" s="4"/>
      <c r="C160" s="4"/>
      <c r="D160" s="4"/>
      <c r="E160" s="5"/>
      <c r="F160" s="2"/>
    </row>
    <row r="161" spans="1:6" x14ac:dyDescent="0.4">
      <c r="A161" s="4"/>
      <c r="B161" s="4"/>
      <c r="C161" s="4"/>
      <c r="D161" s="4"/>
      <c r="E161" s="5"/>
      <c r="F161" s="2"/>
    </row>
    <row r="162" spans="1:6" x14ac:dyDescent="0.4">
      <c r="A162" s="4"/>
      <c r="B162" s="4"/>
      <c r="C162" s="4"/>
      <c r="D162" s="4"/>
      <c r="E162" s="5"/>
      <c r="F162" s="2"/>
    </row>
    <row r="163" spans="1:6" x14ac:dyDescent="0.4">
      <c r="A163" s="4"/>
      <c r="B163" s="4"/>
      <c r="C163" s="4"/>
      <c r="D163" s="4"/>
      <c r="E163" s="5"/>
      <c r="F163" s="2"/>
    </row>
    <row r="164" spans="1:6" x14ac:dyDescent="0.4">
      <c r="A164" s="4"/>
      <c r="B164" s="4"/>
      <c r="C164" s="4"/>
      <c r="D164" s="4"/>
      <c r="E164" s="5"/>
      <c r="F164" s="2"/>
    </row>
    <row r="165" spans="1:6" x14ac:dyDescent="0.4">
      <c r="A165" s="4"/>
      <c r="B165" s="4"/>
      <c r="C165" s="4"/>
      <c r="D165" s="4"/>
      <c r="E165" s="5"/>
      <c r="F165" s="2"/>
    </row>
    <row r="166" spans="1:6" x14ac:dyDescent="0.4">
      <c r="A166" s="4"/>
      <c r="B166" s="4"/>
      <c r="C166" s="4"/>
      <c r="D166" s="4"/>
      <c r="E166" s="5"/>
      <c r="F166" s="2"/>
    </row>
    <row r="167" spans="1:6" x14ac:dyDescent="0.4">
      <c r="A167" s="4"/>
      <c r="B167" s="4"/>
      <c r="C167" s="4"/>
      <c r="D167" s="4"/>
      <c r="E167" s="5"/>
      <c r="F167" s="2"/>
    </row>
    <row r="168" spans="1:6" x14ac:dyDescent="0.4">
      <c r="A168" s="4"/>
      <c r="B168" s="4"/>
      <c r="C168" s="4"/>
      <c r="D168" s="4"/>
      <c r="E168" s="5"/>
      <c r="F168" s="2"/>
    </row>
    <row r="169" spans="1:6" x14ac:dyDescent="0.4">
      <c r="A169" s="4"/>
      <c r="B169" s="4"/>
      <c r="C169" s="4"/>
      <c r="D169" s="4"/>
      <c r="E169" s="5"/>
      <c r="F169" s="2"/>
    </row>
  </sheetData>
  <mergeCells count="13">
    <mergeCell ref="J8:K9"/>
    <mergeCell ref="I8:I9"/>
    <mergeCell ref="I4:K4"/>
    <mergeCell ref="A4:F5"/>
    <mergeCell ref="J7:K7"/>
    <mergeCell ref="J6:K6"/>
    <mergeCell ref="J5:K5"/>
    <mergeCell ref="A6:A7"/>
    <mergeCell ref="B6:B7"/>
    <mergeCell ref="F6:F7"/>
    <mergeCell ref="C6:C7"/>
    <mergeCell ref="E6:E7"/>
    <mergeCell ref="D6:D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8DD9D-D196-470F-84F0-9FA9F14F5E28}">
  <sheetPr codeName="Sheet2">
    <tabColor theme="4" tint="-0.249977111117893"/>
  </sheetPr>
  <dimension ref="A1:GN151"/>
  <sheetViews>
    <sheetView tabSelected="1" topLeftCell="A18" zoomScale="85" zoomScaleNormal="85" workbookViewId="0">
      <pane xSplit="3" topLeftCell="R1" activePane="topRight" state="frozen"/>
      <selection pane="topRight" activeCell="R23" sqref="R23"/>
    </sheetView>
  </sheetViews>
  <sheetFormatPr defaultColWidth="9" defaultRowHeight="17.399999999999999" x14ac:dyDescent="0.4"/>
  <cols>
    <col min="1" max="1" width="7.59765625" style="46" customWidth="1"/>
    <col min="2" max="2" width="9.59765625" style="46" bestFit="1" customWidth="1"/>
    <col min="3" max="3" width="11.69921875" style="46" customWidth="1"/>
    <col min="4" max="4" width="16.19921875" style="81" customWidth="1"/>
    <col min="5" max="5" width="14.8984375" style="46" customWidth="1"/>
    <col min="6" max="6" width="10" style="82" bestFit="1" customWidth="1"/>
    <col min="7" max="7" width="9" style="82"/>
    <col min="8" max="8" width="11.09765625" style="82" customWidth="1"/>
    <col min="9" max="9" width="13.69921875" style="83" customWidth="1"/>
    <col min="10" max="10" width="15.19921875" style="83" bestFit="1" customWidth="1"/>
    <col min="11" max="11" width="22.59765625" style="46" customWidth="1"/>
    <col min="12" max="12" width="23.5" style="46" bestFit="1" customWidth="1"/>
    <col min="13" max="13" width="20.5" style="46" customWidth="1"/>
    <col min="14" max="14" width="18.69921875" style="46" bestFit="1" customWidth="1"/>
    <col min="15" max="15" width="23.5" style="46" bestFit="1" customWidth="1"/>
    <col min="16" max="16" width="23" style="46" customWidth="1"/>
    <col min="17" max="17" width="19.5" style="46" bestFit="1" customWidth="1"/>
    <col min="18" max="18" width="20" style="46" customWidth="1"/>
    <col min="19" max="19" width="19" style="46" customWidth="1"/>
    <col min="20" max="20" width="19.5" style="46" bestFit="1" customWidth="1"/>
    <col min="21" max="21" width="19.5" style="46" customWidth="1"/>
    <col min="22" max="22" width="23.8984375" style="46" customWidth="1"/>
    <col min="23" max="23" width="11.8984375" style="83" hidden="1" customWidth="1"/>
    <col min="24" max="24" width="11.8984375" style="83" customWidth="1"/>
    <col min="25" max="25" width="20.09765625" style="46" customWidth="1"/>
    <col min="26" max="16384" width="9" style="46"/>
  </cols>
  <sheetData>
    <row r="1" spans="1:196" s="29" customFormat="1" ht="39.75" customHeight="1" x14ac:dyDescent="0.4">
      <c r="D1" s="30"/>
      <c r="F1" s="31"/>
      <c r="G1" s="31"/>
      <c r="H1" s="31"/>
      <c r="I1" s="32"/>
      <c r="J1" s="32"/>
      <c r="W1" s="32"/>
      <c r="X1" s="32"/>
    </row>
    <row r="2" spans="1:196" s="33" customFormat="1" ht="46.5" customHeight="1" x14ac:dyDescent="0.4">
      <c r="D2" s="34"/>
      <c r="F2" s="35"/>
      <c r="G2" s="35"/>
      <c r="H2" s="35"/>
      <c r="I2" s="36"/>
      <c r="J2" s="36"/>
      <c r="L2" s="37"/>
      <c r="M2" s="38"/>
      <c r="N2" s="38"/>
      <c r="O2" s="38"/>
      <c r="P2" s="38"/>
      <c r="Q2" s="38"/>
      <c r="R2" s="38"/>
      <c r="S2" s="38"/>
      <c r="T2" s="38"/>
      <c r="U2" s="38"/>
      <c r="V2" s="38"/>
      <c r="W2" s="39"/>
      <c r="X2" s="39"/>
      <c r="Y2" s="40"/>
    </row>
    <row r="3" spans="1:196" s="41" customFormat="1" ht="5.25" customHeight="1" x14ac:dyDescent="0.4">
      <c r="D3" s="42"/>
      <c r="F3" s="43"/>
      <c r="G3" s="43"/>
      <c r="H3" s="43"/>
      <c r="I3" s="44"/>
      <c r="J3" s="44"/>
      <c r="W3" s="44"/>
      <c r="X3" s="44"/>
    </row>
    <row r="4" spans="1:196" s="29" customFormat="1" ht="16.5" customHeight="1" x14ac:dyDescent="0.4">
      <c r="A4" s="196" t="s">
        <v>20</v>
      </c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W4" s="45"/>
      <c r="X4" s="45"/>
    </row>
    <row r="5" spans="1:196" s="29" customFormat="1" ht="17.25" customHeight="1" x14ac:dyDescent="0.4">
      <c r="A5" s="197"/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W5" s="45"/>
      <c r="X5" s="45"/>
    </row>
    <row r="6" spans="1:196" ht="31.5" customHeight="1" thickBot="1" x14ac:dyDescent="0.45">
      <c r="A6" s="204"/>
      <c r="B6" s="202" t="s">
        <v>0</v>
      </c>
      <c r="C6" s="200" t="s">
        <v>29</v>
      </c>
      <c r="D6" s="200" t="s">
        <v>15</v>
      </c>
      <c r="E6" s="206" t="s">
        <v>27</v>
      </c>
      <c r="F6" s="210" t="s">
        <v>16</v>
      </c>
      <c r="G6" s="208" t="s">
        <v>18</v>
      </c>
      <c r="H6" s="198" t="s">
        <v>19</v>
      </c>
      <c r="I6" s="212" t="s">
        <v>31</v>
      </c>
      <c r="J6" s="194" t="s">
        <v>30</v>
      </c>
      <c r="K6" s="214" t="s">
        <v>28</v>
      </c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6"/>
      <c r="W6" s="188" t="s">
        <v>14</v>
      </c>
      <c r="X6" s="190" t="s">
        <v>17</v>
      </c>
      <c r="Y6" s="192" t="s">
        <v>32</v>
      </c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</row>
    <row r="7" spans="1:196" ht="26.25" customHeight="1" thickBot="1" x14ac:dyDescent="0.45">
      <c r="A7" s="205"/>
      <c r="B7" s="203"/>
      <c r="C7" s="201"/>
      <c r="D7" s="201"/>
      <c r="E7" s="207"/>
      <c r="F7" s="211"/>
      <c r="G7" s="209"/>
      <c r="H7" s="199"/>
      <c r="I7" s="213"/>
      <c r="J7" s="195"/>
      <c r="K7" s="47" t="s">
        <v>2</v>
      </c>
      <c r="L7" s="48" t="s">
        <v>3</v>
      </c>
      <c r="M7" s="48" t="s">
        <v>4</v>
      </c>
      <c r="N7" s="48" t="s">
        <v>5</v>
      </c>
      <c r="O7" s="48" t="s">
        <v>6</v>
      </c>
      <c r="P7" s="48" t="s">
        <v>7</v>
      </c>
      <c r="Q7" s="48" t="s">
        <v>8</v>
      </c>
      <c r="R7" s="48" t="s">
        <v>9</v>
      </c>
      <c r="S7" s="48" t="s">
        <v>10</v>
      </c>
      <c r="T7" s="48" t="s">
        <v>11</v>
      </c>
      <c r="U7" s="48" t="s">
        <v>12</v>
      </c>
      <c r="V7" s="49" t="s">
        <v>13</v>
      </c>
      <c r="W7" s="189"/>
      <c r="X7" s="191"/>
      <c r="Y7" s="193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</row>
    <row r="8" spans="1:196" ht="52.2" x14ac:dyDescent="0.4">
      <c r="A8" s="50">
        <v>1</v>
      </c>
      <c r="B8" s="84" t="str">
        <f>사원명부!B8</f>
        <v>이사</v>
      </c>
      <c r="C8" s="85" t="str">
        <f>사원명부!D8</f>
        <v>양승진</v>
      </c>
      <c r="D8" s="86" t="str">
        <f>IF(B8=0,"-",사원명부!E8)</f>
        <v>1990-09-01</v>
      </c>
      <c r="E8" s="87">
        <f>IF(B8=0,"-",D8+1)</f>
        <v>33118</v>
      </c>
      <c r="F8" s="51">
        <v>25</v>
      </c>
      <c r="G8" s="52"/>
      <c r="H8" s="96">
        <f>IFERROR(F8+G8,"")</f>
        <v>25</v>
      </c>
      <c r="I8" s="97">
        <f>W8</f>
        <v>10.5</v>
      </c>
      <c r="J8" s="98">
        <f>IFERROR(F8+G8-I8,"")</f>
        <v>14.5</v>
      </c>
      <c r="K8" s="53"/>
      <c r="L8" s="54"/>
      <c r="M8" s="54" t="s">
        <v>212</v>
      </c>
      <c r="N8" s="54" t="s">
        <v>214</v>
      </c>
      <c r="O8" s="54" t="s">
        <v>164</v>
      </c>
      <c r="P8" s="54"/>
      <c r="Q8" s="54" t="s">
        <v>213</v>
      </c>
      <c r="R8" s="54" t="s">
        <v>202</v>
      </c>
      <c r="S8" s="54"/>
      <c r="T8" s="54"/>
      <c r="U8" s="54"/>
      <c r="V8" s="55"/>
      <c r="W8" s="108">
        <f>LEN(K8)-LEN(SUBSTITUTE(K8,",",""))+1-COUNTBLANK(K8)+LEN(L8)-LEN(SUBSTITUTE(L8,",",""))+1-COUNTBLANK(L8)+LEN(M8)-LEN(SUBSTITUTE(M8,",",""))+1-COUNTBLANK(M8)+LEN(N8)-LEN(SUBSTITUTE(N8,",",""))+1-COUNTBLANK(N8)+LEN(O8)-LEN(SUBSTITUTE(O8,",",""))+1-COUNTBLANK(O8)+LEN(P8)-LEN(SUBSTITUTE(P8,",",""))+1-COUNTBLANK(P8)+LEN(Q8)-LEN(SUBSTITUTE(Q8,",",""))+1-COUNTBLANK(Q8)+LEN(R8)-LEN(SUBSTITUTE(R8,",",""))+1-COUNTBLANK(R8)+LEN(S8)-LEN(SUBSTITUTE(S8,",",""))+1-COUNTBLANK(S8)+LEN(T8)-LEN(SUBSTITUTE(T8,",",""))+1-COUNTBLANK(T8)+LEN(U8)-LEN(SUBSTITUTE(U8,",",""))+1-COUNTBLANK(U8)+LEN(V8)-LEN(SUBSTITUTE(V8,",",""))+1-COUNTBLANK(V8)-X8</f>
        <v>10.5</v>
      </c>
      <c r="X8" s="112">
        <v>1.5</v>
      </c>
      <c r="Y8" s="56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</row>
    <row r="9" spans="1:196" ht="52.2" x14ac:dyDescent="0.4">
      <c r="A9" s="57">
        <v>2</v>
      </c>
      <c r="B9" s="88" t="str">
        <f>사원명부!B9</f>
        <v>이사</v>
      </c>
      <c r="C9" s="89" t="str">
        <f>사원명부!D9</f>
        <v>최창열</v>
      </c>
      <c r="D9" s="90" t="str">
        <f>IF(B9=0,"-",사원명부!E9)</f>
        <v>2000-10-01</v>
      </c>
      <c r="E9" s="91">
        <f t="shared" ref="E9:E72" si="0">IF(B9=0,"-",D9+1)</f>
        <v>36801</v>
      </c>
      <c r="F9" s="58">
        <v>25</v>
      </c>
      <c r="G9" s="59"/>
      <c r="H9" s="99">
        <f t="shared" ref="H9:H72" si="1">IFERROR(F9+G9,"")</f>
        <v>25</v>
      </c>
      <c r="I9" s="100">
        <f t="shared" ref="I9:I72" si="2">W9</f>
        <v>10</v>
      </c>
      <c r="J9" s="101">
        <f t="shared" ref="J9:J72" si="3">IFERROR(F9+G9-I9,"")</f>
        <v>15</v>
      </c>
      <c r="K9" s="60"/>
      <c r="L9" s="61" t="s">
        <v>201</v>
      </c>
      <c r="M9" s="61" t="s">
        <v>151</v>
      </c>
      <c r="N9" s="61" t="s">
        <v>166</v>
      </c>
      <c r="O9" s="61" t="s">
        <v>177</v>
      </c>
      <c r="P9" s="61" t="s">
        <v>215</v>
      </c>
      <c r="Q9" s="61" t="s">
        <v>216</v>
      </c>
      <c r="R9" s="61" t="s">
        <v>264</v>
      </c>
      <c r="S9" s="61"/>
      <c r="T9" s="61"/>
      <c r="U9" s="61"/>
      <c r="V9" s="62"/>
      <c r="W9" s="109">
        <f>LEN(K9)-LEN(SUBSTITUTE(K9,",",""))+1-COUNTBLANK(K9)+LEN(L9)-LEN(SUBSTITUTE(L9,",",""))+1-COUNTBLANK(L9)+LEN(M9)-LEN(SUBSTITUTE(M9,",",""))+1-COUNTBLANK(M9)+LEN(N9)-LEN(SUBSTITUTE(N9,",",""))+1-COUNTBLANK(N9)+LEN(O9)-LEN(SUBSTITUTE(O9,",",""))+1-COUNTBLANK(O9)+LEN(P9)-LEN(SUBSTITUTE(P9,",",""))+1-COUNTBLANK(P9)+LEN(Q9)-LEN(SUBSTITUTE(Q9,",",""))+1-COUNTBLANK(Q9)+LEN(R9)-LEN(SUBSTITUTE(R9,",",""))+1-COUNTBLANK(R9)+LEN(S9)-LEN(SUBSTITUTE(S9,",",""))+1-COUNTBLANK(S9)+LEN(T9)-LEN(SUBSTITUTE(T9,",",""))+1-COUNTBLANK(T9)+LEN(U9)-LEN(SUBSTITUTE(U9,",",""))+1-COUNTBLANK(U9)+LEN(V9)-LEN(SUBSTITUTE(V9,",",""))+1-COUNTBLANK(V9)-X9</f>
        <v>10</v>
      </c>
      <c r="X9" s="113">
        <v>3</v>
      </c>
      <c r="Y9" s="63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</row>
    <row r="10" spans="1:196" ht="52.2" x14ac:dyDescent="0.4">
      <c r="A10" s="57">
        <v>3</v>
      </c>
      <c r="B10" s="88" t="str">
        <f>사원명부!B10</f>
        <v>차장</v>
      </c>
      <c r="C10" s="89" t="str">
        <f>사원명부!D10</f>
        <v>김은정</v>
      </c>
      <c r="D10" s="90" t="str">
        <f>IF(B10=0,"-",사원명부!E10)</f>
        <v>2002-07-26</v>
      </c>
      <c r="E10" s="91">
        <f t="shared" si="0"/>
        <v>37464</v>
      </c>
      <c r="F10" s="58">
        <v>25</v>
      </c>
      <c r="G10" s="59"/>
      <c r="H10" s="99">
        <f t="shared" si="1"/>
        <v>25</v>
      </c>
      <c r="I10" s="100">
        <f t="shared" si="2"/>
        <v>14</v>
      </c>
      <c r="J10" s="101">
        <f t="shared" si="3"/>
        <v>11</v>
      </c>
      <c r="K10" s="60" t="s">
        <v>134</v>
      </c>
      <c r="L10" s="61" t="s">
        <v>154</v>
      </c>
      <c r="M10" s="61" t="s">
        <v>153</v>
      </c>
      <c r="N10" s="61" t="s">
        <v>217</v>
      </c>
      <c r="O10" s="61"/>
      <c r="P10" s="61" t="s">
        <v>218</v>
      </c>
      <c r="Q10" s="61" t="s">
        <v>219</v>
      </c>
      <c r="R10" s="61" t="s">
        <v>269</v>
      </c>
      <c r="S10" s="61"/>
      <c r="T10" s="61"/>
      <c r="U10" s="61"/>
      <c r="V10" s="62"/>
      <c r="W10" s="109">
        <f t="shared" ref="W10:W72" si="4">LEN(K10)-LEN(SUBSTITUTE(K10,",",""))+1-COUNTBLANK(K10)+LEN(L10)-LEN(SUBSTITUTE(L10,",",""))+1-COUNTBLANK(L10)+LEN(M10)-LEN(SUBSTITUTE(M10,",",""))+1-COUNTBLANK(M10)+LEN(N10)-LEN(SUBSTITUTE(N10,",",""))+1-COUNTBLANK(N10)+LEN(O10)-LEN(SUBSTITUTE(O10,",",""))+1-COUNTBLANK(O10)+LEN(P10)-LEN(SUBSTITUTE(P10,",",""))+1-COUNTBLANK(P10)+LEN(Q10)-LEN(SUBSTITUTE(Q10,",",""))+1-COUNTBLANK(Q10)+LEN(R10)-LEN(SUBSTITUTE(R10,",",""))+1-COUNTBLANK(R10)+LEN(S10)-LEN(SUBSTITUTE(S10,",",""))+1-COUNTBLANK(S10)+LEN(T10)-LEN(SUBSTITUTE(T10,",",""))+1-COUNTBLANK(T10)+LEN(U10)-LEN(SUBSTITUTE(U10,",",""))+1-COUNTBLANK(U10)+LEN(V10)-LEN(SUBSTITUTE(V10,",",""))+1-COUNTBLANK(V10)-X10</f>
        <v>14</v>
      </c>
      <c r="X10" s="113">
        <v>2</v>
      </c>
      <c r="Y10" s="16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</row>
    <row r="11" spans="1:196" ht="34.799999999999997" x14ac:dyDescent="0.4">
      <c r="A11" s="57">
        <v>4</v>
      </c>
      <c r="B11" s="88" t="str">
        <f>사원명부!B11</f>
        <v>실장</v>
      </c>
      <c r="C11" s="89" t="str">
        <f>사원명부!D11</f>
        <v>이정화</v>
      </c>
      <c r="D11" s="90" t="str">
        <f>IF(B11=0,"-",사원명부!E11)</f>
        <v>2003-01-02</v>
      </c>
      <c r="E11" s="91">
        <f t="shared" si="0"/>
        <v>37624</v>
      </c>
      <c r="F11" s="58">
        <v>25</v>
      </c>
      <c r="G11" s="59"/>
      <c r="H11" s="99">
        <f t="shared" si="1"/>
        <v>25</v>
      </c>
      <c r="I11" s="100">
        <f t="shared" si="2"/>
        <v>15.5</v>
      </c>
      <c r="J11" s="101">
        <f t="shared" si="3"/>
        <v>9.5</v>
      </c>
      <c r="K11" s="60" t="s">
        <v>146</v>
      </c>
      <c r="L11" s="61" t="s">
        <v>220</v>
      </c>
      <c r="M11" s="61" t="s">
        <v>221</v>
      </c>
      <c r="N11" s="61" t="s">
        <v>193</v>
      </c>
      <c r="O11" s="61" t="s">
        <v>222</v>
      </c>
      <c r="P11" s="61" t="s">
        <v>178</v>
      </c>
      <c r="Q11" s="61" t="s">
        <v>189</v>
      </c>
      <c r="R11" s="61" t="s">
        <v>202</v>
      </c>
      <c r="S11" s="61"/>
      <c r="T11" s="61"/>
      <c r="U11" s="61"/>
      <c r="V11" s="62"/>
      <c r="W11" s="109">
        <f t="shared" si="4"/>
        <v>15.5</v>
      </c>
      <c r="X11" s="113">
        <v>2.5</v>
      </c>
      <c r="Y11" s="63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</row>
    <row r="12" spans="1:196" ht="34.799999999999997" x14ac:dyDescent="0.4">
      <c r="A12" s="57">
        <v>5</v>
      </c>
      <c r="B12" s="88" t="str">
        <f>사원명부!B12</f>
        <v>부장</v>
      </c>
      <c r="C12" s="89" t="str">
        <f>사원명부!D12</f>
        <v>하치복</v>
      </c>
      <c r="D12" s="90" t="str">
        <f>IF(B12=0,"-",사원명부!E12)</f>
        <v>2004-03-15</v>
      </c>
      <c r="E12" s="91">
        <f t="shared" si="0"/>
        <v>38062</v>
      </c>
      <c r="F12" s="58">
        <v>24</v>
      </c>
      <c r="G12" s="59">
        <v>1</v>
      </c>
      <c r="H12" s="99">
        <f t="shared" si="1"/>
        <v>25</v>
      </c>
      <c r="I12" s="100">
        <f t="shared" si="2"/>
        <v>6.5</v>
      </c>
      <c r="J12" s="101">
        <f t="shared" si="3"/>
        <v>18.5</v>
      </c>
      <c r="K12" s="60" t="s">
        <v>135</v>
      </c>
      <c r="L12" s="61" t="s">
        <v>190</v>
      </c>
      <c r="M12" s="61">
        <v>28</v>
      </c>
      <c r="N12" s="61" t="s">
        <v>167</v>
      </c>
      <c r="O12" s="61"/>
      <c r="P12" s="61"/>
      <c r="Q12" s="61" t="s">
        <v>223</v>
      </c>
      <c r="R12" s="61" t="s">
        <v>202</v>
      </c>
      <c r="S12" s="61"/>
      <c r="T12" s="61"/>
      <c r="U12" s="61"/>
      <c r="V12" s="62"/>
      <c r="W12" s="109">
        <f t="shared" si="4"/>
        <v>6.5</v>
      </c>
      <c r="X12" s="113">
        <v>0.5</v>
      </c>
      <c r="Y12" s="63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41"/>
      <c r="FM12" s="4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</row>
    <row r="13" spans="1:196" ht="34.799999999999997" x14ac:dyDescent="0.4">
      <c r="A13" s="57">
        <v>6</v>
      </c>
      <c r="B13" s="88" t="str">
        <f>사원명부!B13</f>
        <v>부장</v>
      </c>
      <c r="C13" s="89" t="str">
        <f>사원명부!D13</f>
        <v>권혁진</v>
      </c>
      <c r="D13" s="90" t="str">
        <f>IF(B13=0,"-",사원명부!E13)</f>
        <v>2004-11-10</v>
      </c>
      <c r="E13" s="91">
        <f t="shared" si="0"/>
        <v>38302</v>
      </c>
      <c r="F13" s="58">
        <v>24</v>
      </c>
      <c r="G13" s="59">
        <v>1</v>
      </c>
      <c r="H13" s="99">
        <f t="shared" si="1"/>
        <v>25</v>
      </c>
      <c r="I13" s="100">
        <f t="shared" si="2"/>
        <v>3</v>
      </c>
      <c r="J13" s="101">
        <f t="shared" si="3"/>
        <v>22</v>
      </c>
      <c r="K13" s="60" t="s">
        <v>224</v>
      </c>
      <c r="L13" s="61" t="s">
        <v>144</v>
      </c>
      <c r="M13" s="61"/>
      <c r="N13" s="61"/>
      <c r="O13" s="61"/>
      <c r="P13" s="61"/>
      <c r="Q13" s="61"/>
      <c r="R13" s="61"/>
      <c r="S13" s="61"/>
      <c r="T13" s="61"/>
      <c r="U13" s="61"/>
      <c r="V13" s="62"/>
      <c r="W13" s="109">
        <f t="shared" si="4"/>
        <v>3</v>
      </c>
      <c r="X13" s="113">
        <v>1</v>
      </c>
      <c r="Y13" s="63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</row>
    <row r="14" spans="1:196" ht="34.799999999999997" x14ac:dyDescent="0.4">
      <c r="A14" s="57">
        <v>7</v>
      </c>
      <c r="B14" s="88" t="str">
        <f>사원명부!B14</f>
        <v>과장</v>
      </c>
      <c r="C14" s="89" t="str">
        <f>사원명부!D14</f>
        <v>김경태</v>
      </c>
      <c r="D14" s="90" t="str">
        <f>IF(B14=0,"-",사원명부!E14)</f>
        <v>2013-04-26</v>
      </c>
      <c r="E14" s="91">
        <f t="shared" si="0"/>
        <v>41391</v>
      </c>
      <c r="F14" s="58">
        <v>20</v>
      </c>
      <c r="G14" s="59"/>
      <c r="H14" s="99">
        <f t="shared" si="1"/>
        <v>20</v>
      </c>
      <c r="I14" s="100">
        <f t="shared" si="2"/>
        <v>11</v>
      </c>
      <c r="J14" s="101">
        <f t="shared" si="3"/>
        <v>9</v>
      </c>
      <c r="K14" s="60" t="s">
        <v>225</v>
      </c>
      <c r="L14" s="61" t="s">
        <v>194</v>
      </c>
      <c r="M14" s="61" t="s">
        <v>170</v>
      </c>
      <c r="N14" s="61" t="s">
        <v>226</v>
      </c>
      <c r="O14" s="61"/>
      <c r="P14" s="61"/>
      <c r="Q14" s="61" t="s">
        <v>205</v>
      </c>
      <c r="R14" s="61" t="s">
        <v>202</v>
      </c>
      <c r="S14" s="61"/>
      <c r="T14" s="61"/>
      <c r="U14" s="61"/>
      <c r="V14" s="62"/>
      <c r="W14" s="109">
        <f t="shared" si="4"/>
        <v>11</v>
      </c>
      <c r="X14" s="113">
        <v>1</v>
      </c>
      <c r="Y14" s="63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</row>
    <row r="15" spans="1:196" ht="19.2" x14ac:dyDescent="0.4">
      <c r="A15" s="57">
        <v>8</v>
      </c>
      <c r="B15" s="88" t="str">
        <f>사원명부!B15</f>
        <v>연구소장</v>
      </c>
      <c r="C15" s="89" t="str">
        <f>사원명부!D15</f>
        <v>조근일</v>
      </c>
      <c r="D15" s="90" t="str">
        <f>IF(B15=0,"-",사원명부!E15)</f>
        <v>2013-11-04</v>
      </c>
      <c r="E15" s="91">
        <f t="shared" si="0"/>
        <v>41583</v>
      </c>
      <c r="F15" s="58">
        <v>20</v>
      </c>
      <c r="G15" s="59"/>
      <c r="H15" s="99">
        <f t="shared" ref="H15:H38" si="5">IFERROR(F15+G15,"")</f>
        <v>20</v>
      </c>
      <c r="I15" s="100">
        <f t="shared" si="2"/>
        <v>6.5</v>
      </c>
      <c r="J15" s="101">
        <f t="shared" ref="J15:J38" si="6">IFERROR(F15+G15-I15,"")</f>
        <v>13.5</v>
      </c>
      <c r="K15" s="60" t="s">
        <v>132</v>
      </c>
      <c r="L15" s="61" t="s">
        <v>147</v>
      </c>
      <c r="M15" s="61" t="s">
        <v>152</v>
      </c>
      <c r="N15" s="61" t="s">
        <v>199</v>
      </c>
      <c r="O15" s="61" t="s">
        <v>151</v>
      </c>
      <c r="P15" s="61"/>
      <c r="Q15" s="61" t="s">
        <v>227</v>
      </c>
      <c r="R15" s="61" t="s">
        <v>206</v>
      </c>
      <c r="S15" s="61"/>
      <c r="T15" s="61"/>
      <c r="U15" s="61"/>
      <c r="V15" s="62"/>
      <c r="W15" s="109">
        <f t="shared" si="4"/>
        <v>6.5</v>
      </c>
      <c r="X15" s="113">
        <v>2.5</v>
      </c>
      <c r="Y15" s="63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</row>
    <row r="16" spans="1:196" ht="52.2" x14ac:dyDescent="0.4">
      <c r="A16" s="57">
        <v>9</v>
      </c>
      <c r="B16" s="88" t="str">
        <f>사원명부!B16</f>
        <v>과장</v>
      </c>
      <c r="C16" s="89" t="str">
        <f>사원명부!D16</f>
        <v>이재형</v>
      </c>
      <c r="D16" s="90" t="str">
        <f>IF(B16=0,"-",사원명부!E16)</f>
        <v>2015-03-16</v>
      </c>
      <c r="E16" s="91">
        <f t="shared" si="0"/>
        <v>42080</v>
      </c>
      <c r="F16" s="58">
        <v>19</v>
      </c>
      <c r="G16" s="59"/>
      <c r="H16" s="99">
        <f t="shared" si="5"/>
        <v>19</v>
      </c>
      <c r="I16" s="100">
        <f t="shared" si="2"/>
        <v>9.5</v>
      </c>
      <c r="J16" s="101">
        <f t="shared" si="6"/>
        <v>9.5</v>
      </c>
      <c r="K16" s="60" t="s">
        <v>136</v>
      </c>
      <c r="L16" s="61" t="s">
        <v>168</v>
      </c>
      <c r="M16" s="61" t="s">
        <v>158</v>
      </c>
      <c r="N16" s="61"/>
      <c r="O16" s="61" t="s">
        <v>179</v>
      </c>
      <c r="P16" s="61" t="s">
        <v>228</v>
      </c>
      <c r="Q16" s="61" t="s">
        <v>229</v>
      </c>
      <c r="R16" s="61" t="s">
        <v>268</v>
      </c>
      <c r="S16" s="61"/>
      <c r="T16" s="61"/>
      <c r="U16" s="61"/>
      <c r="V16" s="62"/>
      <c r="W16" s="109">
        <f t="shared" si="4"/>
        <v>9.5</v>
      </c>
      <c r="X16" s="113">
        <v>3.5</v>
      </c>
      <c r="Y16" s="63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</row>
    <row r="17" spans="1:196" ht="34.799999999999997" x14ac:dyDescent="0.4">
      <c r="A17" s="57">
        <v>10</v>
      </c>
      <c r="B17" s="88" t="str">
        <f>사원명부!B17</f>
        <v>과장</v>
      </c>
      <c r="C17" s="89" t="str">
        <f>사원명부!D17</f>
        <v>임소연</v>
      </c>
      <c r="D17" s="90" t="str">
        <f>IF(B17=0,"-",사원명부!E17)</f>
        <v>2006-12-01</v>
      </c>
      <c r="E17" s="91">
        <f t="shared" si="0"/>
        <v>39053</v>
      </c>
      <c r="F17" s="58">
        <v>23</v>
      </c>
      <c r="G17" s="59"/>
      <c r="H17" s="99">
        <f t="shared" si="5"/>
        <v>23</v>
      </c>
      <c r="I17" s="100">
        <f t="shared" si="2"/>
        <v>13.5</v>
      </c>
      <c r="J17" s="101">
        <f t="shared" si="6"/>
        <v>9.5</v>
      </c>
      <c r="K17" s="60" t="s">
        <v>137</v>
      </c>
      <c r="L17" s="61" t="s">
        <v>168</v>
      </c>
      <c r="M17" s="61" t="s">
        <v>160</v>
      </c>
      <c r="N17" s="61" t="s">
        <v>230</v>
      </c>
      <c r="O17" s="61" t="s">
        <v>212</v>
      </c>
      <c r="P17" s="61" t="s">
        <v>231</v>
      </c>
      <c r="Q17" s="61" t="s">
        <v>203</v>
      </c>
      <c r="R17" s="61" t="s">
        <v>204</v>
      </c>
      <c r="S17" s="61"/>
      <c r="T17" s="61"/>
      <c r="U17" s="61"/>
      <c r="V17" s="62"/>
      <c r="W17" s="109">
        <f t="shared" si="4"/>
        <v>13.5</v>
      </c>
      <c r="X17" s="113">
        <v>2.5</v>
      </c>
      <c r="Y17" s="63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</row>
    <row r="18" spans="1:196" ht="69.599999999999994" x14ac:dyDescent="0.4">
      <c r="A18" s="57">
        <v>11</v>
      </c>
      <c r="B18" s="88" t="str">
        <f>사원명부!B18</f>
        <v>대리</v>
      </c>
      <c r="C18" s="89" t="str">
        <f>사원명부!D18</f>
        <v>김지혜</v>
      </c>
      <c r="D18" s="90" t="str">
        <f>IF(B18=0,"-",사원명부!E18)</f>
        <v>2018-02-06</v>
      </c>
      <c r="E18" s="91">
        <f t="shared" si="0"/>
        <v>43138</v>
      </c>
      <c r="F18" s="58">
        <v>17</v>
      </c>
      <c r="G18" s="59"/>
      <c r="H18" s="99">
        <f t="shared" si="5"/>
        <v>17</v>
      </c>
      <c r="I18" s="100">
        <f t="shared" si="2"/>
        <v>7.5</v>
      </c>
      <c r="J18" s="101">
        <f t="shared" si="6"/>
        <v>9.5</v>
      </c>
      <c r="K18" s="60" t="s">
        <v>138</v>
      </c>
      <c r="L18" s="61" t="s">
        <v>191</v>
      </c>
      <c r="M18" s="61"/>
      <c r="N18" s="61"/>
      <c r="O18" s="61"/>
      <c r="P18" s="61" t="s">
        <v>180</v>
      </c>
      <c r="Q18" s="61" t="s">
        <v>232</v>
      </c>
      <c r="R18" s="61"/>
      <c r="S18" s="61"/>
      <c r="T18" s="61"/>
      <c r="U18" s="61"/>
      <c r="V18" s="62"/>
      <c r="W18" s="109">
        <f t="shared" si="4"/>
        <v>7.5</v>
      </c>
      <c r="X18" s="113">
        <v>1.5</v>
      </c>
      <c r="Y18" s="63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41"/>
      <c r="GN18" s="41"/>
    </row>
    <row r="19" spans="1:196" ht="121.8" x14ac:dyDescent="0.4">
      <c r="A19" s="57">
        <v>12</v>
      </c>
      <c r="B19" s="88" t="str">
        <f>사원명부!B19</f>
        <v>주임연구원</v>
      </c>
      <c r="C19" s="89" t="str">
        <f>사원명부!D19</f>
        <v>정승후</v>
      </c>
      <c r="D19" s="90" t="str">
        <f>IF(B19=0,"-",사원명부!E19)</f>
        <v>2018-07-02</v>
      </c>
      <c r="E19" s="91">
        <f t="shared" si="0"/>
        <v>43284</v>
      </c>
      <c r="F19" s="58">
        <v>17</v>
      </c>
      <c r="G19" s="59"/>
      <c r="H19" s="99">
        <f t="shared" si="5"/>
        <v>17</v>
      </c>
      <c r="I19" s="100">
        <f t="shared" si="2"/>
        <v>13.5</v>
      </c>
      <c r="J19" s="101">
        <f t="shared" si="6"/>
        <v>3.5</v>
      </c>
      <c r="K19" s="60" t="s">
        <v>196</v>
      </c>
      <c r="L19" s="61" t="s">
        <v>209</v>
      </c>
      <c r="M19" s="61" t="s">
        <v>210</v>
      </c>
      <c r="N19" s="61" t="s">
        <v>233</v>
      </c>
      <c r="O19" s="61" t="s">
        <v>234</v>
      </c>
      <c r="P19" s="61" t="s">
        <v>235</v>
      </c>
      <c r="Q19" s="61" t="s">
        <v>236</v>
      </c>
      <c r="R19" s="61" t="s">
        <v>231</v>
      </c>
      <c r="S19" s="61"/>
      <c r="T19" s="61"/>
      <c r="U19" s="61"/>
      <c r="V19" s="62"/>
      <c r="W19" s="109">
        <f t="shared" si="4"/>
        <v>13.5</v>
      </c>
      <c r="X19" s="113">
        <v>10.5</v>
      </c>
      <c r="Y19" s="16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41"/>
      <c r="FM19" s="4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41"/>
      <c r="GN19" s="41"/>
    </row>
    <row r="20" spans="1:196" ht="34.799999999999997" x14ac:dyDescent="0.4">
      <c r="A20" s="57">
        <v>13</v>
      </c>
      <c r="B20" s="88" t="str">
        <f>사원명부!B20</f>
        <v>대리</v>
      </c>
      <c r="C20" s="89" t="str">
        <f>사원명부!D20</f>
        <v>나유성</v>
      </c>
      <c r="D20" s="90" t="str">
        <f>IF(B20=0,"-",사원명부!E20)</f>
        <v>2018-09-27</v>
      </c>
      <c r="E20" s="91">
        <f t="shared" si="0"/>
        <v>43371</v>
      </c>
      <c r="F20" s="58">
        <v>17</v>
      </c>
      <c r="G20" s="59"/>
      <c r="H20" s="99">
        <f t="shared" si="5"/>
        <v>17</v>
      </c>
      <c r="I20" s="100">
        <f t="shared" si="2"/>
        <v>6.5</v>
      </c>
      <c r="J20" s="101">
        <f t="shared" si="6"/>
        <v>10.5</v>
      </c>
      <c r="K20" s="64" t="s">
        <v>237</v>
      </c>
      <c r="L20" s="65">
        <v>28</v>
      </c>
      <c r="M20" s="65" t="s">
        <v>195</v>
      </c>
      <c r="N20" s="65" t="s">
        <v>165</v>
      </c>
      <c r="O20" s="65"/>
      <c r="P20" s="65" t="s">
        <v>238</v>
      </c>
      <c r="Q20" s="65"/>
      <c r="R20" s="65" t="s">
        <v>266</v>
      </c>
      <c r="S20" s="65"/>
      <c r="T20" s="65"/>
      <c r="U20" s="65"/>
      <c r="V20" s="66"/>
      <c r="W20" s="109">
        <f t="shared" si="4"/>
        <v>6.5</v>
      </c>
      <c r="X20" s="113">
        <v>2.5</v>
      </c>
      <c r="Y20" s="67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</row>
    <row r="21" spans="1:196" ht="19.2" x14ac:dyDescent="0.4">
      <c r="A21" s="57">
        <v>14</v>
      </c>
      <c r="B21" s="88" t="str">
        <f>사원명부!B21</f>
        <v>주임연구원</v>
      </c>
      <c r="C21" s="89" t="str">
        <f>사원명부!D21</f>
        <v>정현웅</v>
      </c>
      <c r="D21" s="90" t="str">
        <f>IF(B21=0,"-",사원명부!E21)</f>
        <v>2018-07-25</v>
      </c>
      <c r="E21" s="91">
        <f t="shared" si="0"/>
        <v>43307</v>
      </c>
      <c r="F21" s="58">
        <v>17</v>
      </c>
      <c r="G21" s="59"/>
      <c r="H21" s="99">
        <f t="shared" si="5"/>
        <v>17</v>
      </c>
      <c r="I21" s="100">
        <f t="shared" si="2"/>
        <v>2</v>
      </c>
      <c r="J21" s="101">
        <f t="shared" si="6"/>
        <v>15</v>
      </c>
      <c r="K21" s="64" t="s">
        <v>148</v>
      </c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6"/>
      <c r="W21" s="109">
        <f t="shared" si="4"/>
        <v>2</v>
      </c>
      <c r="X21" s="113"/>
      <c r="Y21" s="67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  <c r="GB21" s="41"/>
      <c r="GC21" s="41"/>
      <c r="GD21" s="41"/>
      <c r="GE21" s="41"/>
      <c r="GF21" s="41"/>
      <c r="GG21" s="41"/>
      <c r="GH21" s="41"/>
      <c r="GI21" s="41"/>
      <c r="GJ21" s="41"/>
      <c r="GK21" s="41"/>
      <c r="GL21" s="41"/>
      <c r="GM21" s="41"/>
      <c r="GN21" s="41"/>
    </row>
    <row r="22" spans="1:196" ht="52.2" x14ac:dyDescent="0.4">
      <c r="A22" s="57">
        <v>15</v>
      </c>
      <c r="B22" s="88" t="str">
        <f>사원명부!B22</f>
        <v>팀장</v>
      </c>
      <c r="C22" s="89" t="str">
        <f>사원명부!D22</f>
        <v>정희웅</v>
      </c>
      <c r="D22" s="90" t="str">
        <f>IF(B22=0,"-",사원명부!E22)</f>
        <v>2018-09-27</v>
      </c>
      <c r="E22" s="91">
        <f t="shared" si="0"/>
        <v>43371</v>
      </c>
      <c r="F22" s="58">
        <v>17</v>
      </c>
      <c r="G22" s="59"/>
      <c r="H22" s="99">
        <f t="shared" si="5"/>
        <v>17</v>
      </c>
      <c r="I22" s="100">
        <f t="shared" si="2"/>
        <v>9</v>
      </c>
      <c r="J22" s="101">
        <f t="shared" si="6"/>
        <v>8</v>
      </c>
      <c r="K22" s="64" t="s">
        <v>139</v>
      </c>
      <c r="L22" s="65" t="s">
        <v>239</v>
      </c>
      <c r="M22" s="65" t="s">
        <v>161</v>
      </c>
      <c r="N22" s="65" t="s">
        <v>240</v>
      </c>
      <c r="O22" s="65"/>
      <c r="P22" s="65" t="s">
        <v>185</v>
      </c>
      <c r="Q22" s="65"/>
      <c r="R22" s="65"/>
      <c r="S22" s="65"/>
      <c r="T22" s="65"/>
      <c r="U22" s="65"/>
      <c r="V22" s="66"/>
      <c r="W22" s="109">
        <f t="shared" si="4"/>
        <v>9</v>
      </c>
      <c r="X22" s="113">
        <v>2</v>
      </c>
      <c r="Y22" s="67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  <c r="EX22" s="41"/>
      <c r="EY22" s="41"/>
      <c r="EZ22" s="41"/>
      <c r="FA22" s="41"/>
      <c r="FB22" s="41"/>
      <c r="FC22" s="41"/>
      <c r="FD22" s="41"/>
      <c r="FE22" s="41"/>
      <c r="FF22" s="41"/>
      <c r="FG22" s="41"/>
      <c r="FH22" s="41"/>
      <c r="FI22" s="41"/>
      <c r="FJ22" s="41"/>
      <c r="FK22" s="41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  <c r="GG22" s="41"/>
      <c r="GH22" s="41"/>
      <c r="GI22" s="41"/>
      <c r="GJ22" s="41"/>
      <c r="GK22" s="41"/>
      <c r="GL22" s="41"/>
      <c r="GM22" s="41"/>
      <c r="GN22" s="41"/>
    </row>
    <row r="23" spans="1:196" ht="52.2" x14ac:dyDescent="0.4">
      <c r="A23" s="57">
        <v>16</v>
      </c>
      <c r="B23" s="88" t="str">
        <f>사원명부!B23</f>
        <v>대리</v>
      </c>
      <c r="C23" s="89" t="str">
        <f>사원명부!D23</f>
        <v>김희승</v>
      </c>
      <c r="D23" s="90" t="str">
        <f>IF(B23=0,"-",사원명부!E23)</f>
        <v>2018-09-03</v>
      </c>
      <c r="E23" s="91">
        <f t="shared" si="0"/>
        <v>43347</v>
      </c>
      <c r="F23" s="58">
        <v>17</v>
      </c>
      <c r="G23" s="59"/>
      <c r="H23" s="99">
        <f t="shared" si="5"/>
        <v>17</v>
      </c>
      <c r="I23" s="100">
        <f t="shared" si="2"/>
        <v>13</v>
      </c>
      <c r="J23" s="101">
        <f t="shared" si="6"/>
        <v>4</v>
      </c>
      <c r="K23" s="64" t="s">
        <v>241</v>
      </c>
      <c r="L23" s="65" t="s">
        <v>208</v>
      </c>
      <c r="M23" s="65" t="s">
        <v>156</v>
      </c>
      <c r="N23" s="65" t="s">
        <v>242</v>
      </c>
      <c r="O23" s="65" t="s">
        <v>243</v>
      </c>
      <c r="P23" s="65" t="s">
        <v>244</v>
      </c>
      <c r="Q23" s="65" t="s">
        <v>211</v>
      </c>
      <c r="R23" s="65" t="s">
        <v>271</v>
      </c>
      <c r="S23" s="65"/>
      <c r="T23" s="65"/>
      <c r="U23" s="65"/>
      <c r="V23" s="66"/>
      <c r="W23" s="109">
        <f t="shared" si="4"/>
        <v>13</v>
      </c>
      <c r="X23" s="113">
        <v>7</v>
      </c>
      <c r="Y23" s="67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41"/>
      <c r="GN23" s="41"/>
    </row>
    <row r="24" spans="1:196" ht="34.799999999999997" x14ac:dyDescent="0.4">
      <c r="A24" s="57">
        <v>17</v>
      </c>
      <c r="B24" s="88" t="str">
        <f>사원명부!B24</f>
        <v>대리</v>
      </c>
      <c r="C24" s="89" t="str">
        <f>사원명부!D24</f>
        <v>곽병현</v>
      </c>
      <c r="D24" s="90" t="str">
        <f>IF(B24=0,"-",사원명부!E24)</f>
        <v>2019-04-08</v>
      </c>
      <c r="E24" s="91">
        <f t="shared" si="0"/>
        <v>43564</v>
      </c>
      <c r="F24" s="58">
        <v>17</v>
      </c>
      <c r="G24" s="59">
        <v>0</v>
      </c>
      <c r="H24" s="99">
        <f t="shared" si="5"/>
        <v>17</v>
      </c>
      <c r="I24" s="100">
        <f t="shared" si="2"/>
        <v>10.5</v>
      </c>
      <c r="J24" s="101">
        <f t="shared" si="6"/>
        <v>6.5</v>
      </c>
      <c r="K24" s="64" t="s">
        <v>135</v>
      </c>
      <c r="L24" s="65" t="s">
        <v>168</v>
      </c>
      <c r="M24" s="65" t="s">
        <v>195</v>
      </c>
      <c r="N24" s="65"/>
      <c r="O24" s="65" t="s">
        <v>245</v>
      </c>
      <c r="P24" s="65" t="s">
        <v>246</v>
      </c>
      <c r="Q24" s="65" t="s">
        <v>188</v>
      </c>
      <c r="R24" s="65" t="s">
        <v>267</v>
      </c>
      <c r="S24" s="65"/>
      <c r="T24" s="65"/>
      <c r="U24" s="65"/>
      <c r="V24" s="66"/>
      <c r="W24" s="109">
        <f t="shared" si="4"/>
        <v>10.5</v>
      </c>
      <c r="X24" s="113">
        <v>1.5</v>
      </c>
      <c r="Y24" s="67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1"/>
      <c r="EG24" s="41"/>
      <c r="EH24" s="41"/>
      <c r="EI24" s="41"/>
      <c r="EJ24" s="41"/>
      <c r="EK24" s="41"/>
      <c r="EL24" s="41"/>
      <c r="EM24" s="41"/>
      <c r="EN24" s="41"/>
      <c r="EO24" s="41"/>
      <c r="EP24" s="41"/>
      <c r="EQ24" s="41"/>
      <c r="ER24" s="41"/>
      <c r="ES24" s="41"/>
      <c r="ET24" s="41"/>
      <c r="EU24" s="41"/>
      <c r="EV24" s="41"/>
      <c r="EW24" s="41"/>
      <c r="EX24" s="41"/>
      <c r="EY24" s="41"/>
      <c r="EZ24" s="41"/>
      <c r="FA24" s="41"/>
      <c r="FB24" s="41"/>
      <c r="FC24" s="41"/>
      <c r="FD24" s="41"/>
      <c r="FE24" s="41"/>
      <c r="FF24" s="41"/>
      <c r="FG24" s="41"/>
      <c r="FH24" s="41"/>
      <c r="FI24" s="41"/>
      <c r="FJ24" s="41"/>
      <c r="FK24" s="41"/>
      <c r="FL24" s="41"/>
      <c r="FM24" s="41"/>
      <c r="FN24" s="41"/>
      <c r="FO24" s="41"/>
      <c r="FP24" s="41"/>
      <c r="FQ24" s="41"/>
      <c r="FR24" s="41"/>
      <c r="FS24" s="41"/>
      <c r="FT24" s="41"/>
      <c r="FU24" s="41"/>
      <c r="FV24" s="41"/>
      <c r="FW24" s="41"/>
      <c r="FX24" s="41"/>
      <c r="FY24" s="41"/>
      <c r="FZ24" s="41"/>
      <c r="GA24" s="41"/>
      <c r="GB24" s="41"/>
      <c r="GC24" s="41"/>
      <c r="GD24" s="41"/>
      <c r="GE24" s="41"/>
      <c r="GF24" s="41"/>
      <c r="GG24" s="41"/>
      <c r="GH24" s="41"/>
      <c r="GI24" s="41"/>
      <c r="GJ24" s="41"/>
      <c r="GK24" s="41"/>
      <c r="GL24" s="41"/>
      <c r="GM24" s="41"/>
      <c r="GN24" s="41"/>
    </row>
    <row r="25" spans="1:196" ht="69.599999999999994" x14ac:dyDescent="0.4">
      <c r="A25" s="57">
        <v>18</v>
      </c>
      <c r="B25" s="88" t="str">
        <f>사원명부!B25</f>
        <v>대리</v>
      </c>
      <c r="C25" s="89" t="str">
        <f>사원명부!D25</f>
        <v>윤은호</v>
      </c>
      <c r="D25" s="90" t="str">
        <f>IF(B25=0,"-",사원명부!E25)</f>
        <v>2019-07-01</v>
      </c>
      <c r="E25" s="91">
        <f t="shared" si="0"/>
        <v>43648</v>
      </c>
      <c r="F25" s="58">
        <v>17</v>
      </c>
      <c r="G25" s="59">
        <v>1</v>
      </c>
      <c r="H25" s="99">
        <f t="shared" si="5"/>
        <v>18</v>
      </c>
      <c r="I25" s="100">
        <f t="shared" si="2"/>
        <v>17.5</v>
      </c>
      <c r="J25" s="101">
        <f t="shared" si="6"/>
        <v>0.5</v>
      </c>
      <c r="K25" s="64" t="s">
        <v>247</v>
      </c>
      <c r="L25" s="65" t="s">
        <v>248</v>
      </c>
      <c r="M25" s="65" t="s">
        <v>249</v>
      </c>
      <c r="N25" s="65" t="s">
        <v>250</v>
      </c>
      <c r="O25" s="65" t="s">
        <v>181</v>
      </c>
      <c r="P25" s="65" t="s">
        <v>251</v>
      </c>
      <c r="Q25" s="65" t="s">
        <v>252</v>
      </c>
      <c r="R25" s="65"/>
      <c r="S25" s="65"/>
      <c r="T25" s="65"/>
      <c r="U25" s="65"/>
      <c r="V25" s="66"/>
      <c r="W25" s="109">
        <f t="shared" si="4"/>
        <v>17.5</v>
      </c>
      <c r="X25" s="113">
        <v>3.5</v>
      </c>
      <c r="Y25" s="67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s="41"/>
      <c r="ES25" s="41"/>
      <c r="ET25" s="41"/>
      <c r="EU25" s="41"/>
      <c r="EV25" s="41"/>
      <c r="EW25" s="41"/>
      <c r="EX25" s="41"/>
      <c r="EY25" s="41"/>
      <c r="EZ25" s="41"/>
      <c r="FA25" s="41"/>
      <c r="FB25" s="41"/>
      <c r="FC25" s="41"/>
      <c r="FD25" s="41"/>
      <c r="FE25" s="41"/>
      <c r="FF25" s="41"/>
      <c r="FG25" s="41"/>
      <c r="FH25" s="41"/>
      <c r="FI25" s="41"/>
      <c r="FJ25" s="41"/>
      <c r="FK25" s="41"/>
      <c r="FL25" s="41"/>
      <c r="FM25" s="41"/>
      <c r="FN25" s="41"/>
      <c r="FO25" s="41"/>
      <c r="FP25" s="41"/>
      <c r="FQ25" s="41"/>
      <c r="FR25" s="41"/>
      <c r="FS25" s="41"/>
      <c r="FT25" s="41"/>
      <c r="FU25" s="41"/>
      <c r="FV25" s="41"/>
      <c r="FW25" s="41"/>
      <c r="FX25" s="41"/>
      <c r="FY25" s="41"/>
      <c r="FZ25" s="41"/>
      <c r="GA25" s="41"/>
      <c r="GB25" s="41"/>
      <c r="GC25" s="41"/>
      <c r="GD25" s="41"/>
      <c r="GE25" s="41"/>
      <c r="GF25" s="41"/>
      <c r="GG25" s="41"/>
      <c r="GH25" s="41"/>
      <c r="GI25" s="41"/>
      <c r="GJ25" s="41"/>
      <c r="GK25" s="41"/>
      <c r="GL25" s="41"/>
      <c r="GM25" s="41"/>
      <c r="GN25" s="41"/>
    </row>
    <row r="26" spans="1:196" ht="52.2" x14ac:dyDescent="0.4">
      <c r="A26" s="57">
        <v>19</v>
      </c>
      <c r="B26" s="88" t="str">
        <f>사원명부!B26</f>
        <v>주임연구원</v>
      </c>
      <c r="C26" s="89" t="str">
        <f>사원명부!D26</f>
        <v>김윤회</v>
      </c>
      <c r="D26" s="90" t="str">
        <f>IF(B26=0,"-",사원명부!E26)</f>
        <v>2019-11-02</v>
      </c>
      <c r="E26" s="91">
        <f t="shared" si="0"/>
        <v>43772</v>
      </c>
      <c r="F26" s="58">
        <v>17</v>
      </c>
      <c r="G26" s="59">
        <v>1</v>
      </c>
      <c r="H26" s="99">
        <f t="shared" si="5"/>
        <v>18</v>
      </c>
      <c r="I26" s="100">
        <f t="shared" si="2"/>
        <v>14.5</v>
      </c>
      <c r="J26" s="101">
        <f t="shared" si="6"/>
        <v>3.5</v>
      </c>
      <c r="K26" s="64" t="s">
        <v>254</v>
      </c>
      <c r="L26" s="65" t="s">
        <v>150</v>
      </c>
      <c r="M26" s="65" t="s">
        <v>253</v>
      </c>
      <c r="N26" s="65" t="s">
        <v>257</v>
      </c>
      <c r="O26" s="65" t="s">
        <v>255</v>
      </c>
      <c r="P26" s="65" t="s">
        <v>256</v>
      </c>
      <c r="Q26" s="65"/>
      <c r="R26" s="65" t="s">
        <v>265</v>
      </c>
      <c r="S26" s="65"/>
      <c r="T26" s="65"/>
      <c r="U26" s="65"/>
      <c r="V26" s="66"/>
      <c r="W26" s="109">
        <f t="shared" si="4"/>
        <v>14.5</v>
      </c>
      <c r="X26" s="113">
        <v>3.5</v>
      </c>
      <c r="Y26" s="67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  <c r="CW26" s="41"/>
      <c r="CX26" s="41"/>
      <c r="CY26" s="41"/>
      <c r="CZ26" s="41"/>
      <c r="DA26" s="41"/>
      <c r="DB26" s="41"/>
      <c r="DC26" s="41"/>
      <c r="DD26" s="41"/>
      <c r="DE26" s="41"/>
      <c r="DF26" s="41"/>
      <c r="DG26" s="41"/>
      <c r="DH26" s="41"/>
      <c r="DI26" s="41"/>
      <c r="DJ26" s="41"/>
      <c r="DK26" s="41"/>
      <c r="DL26" s="41"/>
      <c r="DM26" s="41"/>
      <c r="DN26" s="41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1"/>
      <c r="EG26" s="41"/>
      <c r="EH26" s="41"/>
      <c r="EI26" s="41"/>
      <c r="EJ26" s="41"/>
      <c r="EK26" s="41"/>
      <c r="EL26" s="41"/>
      <c r="EM26" s="41"/>
      <c r="EN26" s="41"/>
      <c r="EO26" s="41"/>
      <c r="EP26" s="41"/>
      <c r="EQ26" s="41"/>
      <c r="ER26" s="41"/>
      <c r="ES26" s="41"/>
      <c r="ET26" s="41"/>
      <c r="EU26" s="41"/>
      <c r="EV26" s="41"/>
      <c r="EW26" s="41"/>
      <c r="EX26" s="41"/>
      <c r="EY26" s="41"/>
      <c r="EZ26" s="41"/>
      <c r="FA26" s="41"/>
      <c r="FB26" s="41"/>
      <c r="FC26" s="41"/>
      <c r="FD26" s="41"/>
      <c r="FE26" s="41"/>
      <c r="FF26" s="41"/>
      <c r="FG26" s="41"/>
      <c r="FH26" s="41"/>
      <c r="FI26" s="41"/>
      <c r="FJ26" s="41"/>
      <c r="FK26" s="41"/>
      <c r="FL26" s="41"/>
      <c r="FM26" s="41"/>
      <c r="FN26" s="41"/>
      <c r="FO26" s="41"/>
      <c r="FP26" s="41"/>
      <c r="FQ26" s="41"/>
      <c r="FR26" s="41"/>
      <c r="FS26" s="41"/>
      <c r="FT26" s="41"/>
      <c r="FU26" s="41"/>
      <c r="FV26" s="41"/>
      <c r="FW26" s="41"/>
      <c r="FX26" s="41"/>
      <c r="FY26" s="41"/>
      <c r="FZ26" s="41"/>
      <c r="GA26" s="41"/>
      <c r="GB26" s="41"/>
      <c r="GC26" s="41"/>
      <c r="GD26" s="41"/>
      <c r="GE26" s="41"/>
      <c r="GF26" s="41"/>
      <c r="GG26" s="41"/>
      <c r="GH26" s="41"/>
      <c r="GI26" s="41"/>
      <c r="GJ26" s="41"/>
      <c r="GK26" s="41"/>
      <c r="GL26" s="41"/>
      <c r="GM26" s="41"/>
      <c r="GN26" s="41"/>
    </row>
    <row r="27" spans="1:196" ht="19.2" x14ac:dyDescent="0.4">
      <c r="A27" s="57">
        <v>20</v>
      </c>
      <c r="B27" s="88" t="str">
        <f>사원명부!B27</f>
        <v>반장</v>
      </c>
      <c r="C27" s="89" t="str">
        <f>사원명부!D27</f>
        <v>석진태</v>
      </c>
      <c r="D27" s="90" t="str">
        <f>IF(B27=0,"-",사원명부!E27)</f>
        <v>2022-03-21</v>
      </c>
      <c r="E27" s="91">
        <f t="shared" si="0"/>
        <v>44642</v>
      </c>
      <c r="F27" s="58">
        <v>15</v>
      </c>
      <c r="G27" s="59"/>
      <c r="H27" s="99">
        <f t="shared" si="5"/>
        <v>15</v>
      </c>
      <c r="I27" s="100">
        <f t="shared" si="2"/>
        <v>8</v>
      </c>
      <c r="J27" s="101">
        <f t="shared" si="6"/>
        <v>7</v>
      </c>
      <c r="K27" s="64" t="s">
        <v>141</v>
      </c>
      <c r="L27" s="65" t="s">
        <v>133</v>
      </c>
      <c r="M27" s="65" t="s">
        <v>157</v>
      </c>
      <c r="N27" s="65"/>
      <c r="O27" s="65" t="s">
        <v>258</v>
      </c>
      <c r="P27" s="65" t="s">
        <v>182</v>
      </c>
      <c r="Q27" s="65" t="s">
        <v>164</v>
      </c>
      <c r="R27" s="65" t="s">
        <v>207</v>
      </c>
      <c r="S27" s="65"/>
      <c r="T27" s="65"/>
      <c r="U27" s="65"/>
      <c r="V27" s="66"/>
      <c r="W27" s="109">
        <f t="shared" si="4"/>
        <v>8</v>
      </c>
      <c r="X27" s="113">
        <v>1</v>
      </c>
      <c r="Y27" s="67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s="41"/>
      <c r="ES27" s="41"/>
      <c r="ET27" s="41"/>
      <c r="EU27" s="41"/>
      <c r="EV27" s="41"/>
      <c r="EW27" s="41"/>
      <c r="EX27" s="41"/>
      <c r="EY27" s="41"/>
      <c r="EZ27" s="41"/>
      <c r="FA27" s="41"/>
      <c r="FB27" s="41"/>
      <c r="FC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41"/>
      <c r="FP27" s="41"/>
      <c r="FQ27" s="41"/>
      <c r="FR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  <c r="GI27" s="41"/>
      <c r="GJ27" s="41"/>
      <c r="GK27" s="41"/>
      <c r="GL27" s="41"/>
      <c r="GM27" s="41"/>
      <c r="GN27" s="41"/>
    </row>
    <row r="28" spans="1:196" ht="52.2" x14ac:dyDescent="0.4">
      <c r="A28" s="57">
        <v>21</v>
      </c>
      <c r="B28" s="88" t="str">
        <f>사원명부!B28</f>
        <v>사원</v>
      </c>
      <c r="C28" s="89" t="str">
        <f>사원명부!D28</f>
        <v>여도근</v>
      </c>
      <c r="D28" s="90" t="str">
        <f>IF(B28=0,"-",사원명부!E28)</f>
        <v>2022-04-01</v>
      </c>
      <c r="E28" s="91">
        <f t="shared" si="0"/>
        <v>44653</v>
      </c>
      <c r="F28" s="58">
        <v>15</v>
      </c>
      <c r="G28" s="59"/>
      <c r="H28" s="99">
        <f t="shared" si="5"/>
        <v>15</v>
      </c>
      <c r="I28" s="100">
        <f t="shared" si="2"/>
        <v>7</v>
      </c>
      <c r="J28" s="101">
        <f t="shared" si="6"/>
        <v>8</v>
      </c>
      <c r="K28" s="60" t="s">
        <v>149</v>
      </c>
      <c r="L28" s="61" t="s">
        <v>197</v>
      </c>
      <c r="M28" s="61" t="s">
        <v>158</v>
      </c>
      <c r="N28" s="61" t="s">
        <v>169</v>
      </c>
      <c r="O28" s="61" t="s">
        <v>183</v>
      </c>
      <c r="P28" s="61" t="s">
        <v>259</v>
      </c>
      <c r="Q28" s="61" t="s">
        <v>260</v>
      </c>
      <c r="R28" s="61"/>
      <c r="S28" s="61"/>
      <c r="T28" s="61"/>
      <c r="U28" s="61"/>
      <c r="V28" s="62"/>
      <c r="W28" s="109">
        <f t="shared" si="4"/>
        <v>7</v>
      </c>
      <c r="X28" s="113">
        <v>4</v>
      </c>
      <c r="Y28" s="63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  <c r="EF28" s="41"/>
      <c r="EG28" s="41"/>
      <c r="EH28" s="41"/>
      <c r="EI28" s="41"/>
      <c r="EJ28" s="41"/>
      <c r="EK28" s="41"/>
      <c r="EL28" s="41"/>
      <c r="EM28" s="41"/>
      <c r="EN28" s="41"/>
      <c r="EO28" s="41"/>
      <c r="EP28" s="41"/>
      <c r="EQ28" s="41"/>
      <c r="ER28" s="41"/>
      <c r="ES28" s="41"/>
      <c r="ET28" s="41"/>
      <c r="EU28" s="41"/>
      <c r="EV28" s="41"/>
      <c r="EW28" s="41"/>
      <c r="EX28" s="41"/>
      <c r="EY28" s="41"/>
      <c r="EZ28" s="41"/>
      <c r="FA28" s="41"/>
      <c r="FB28" s="41"/>
      <c r="FC28" s="41"/>
      <c r="FD28" s="41"/>
      <c r="FE28" s="41"/>
      <c r="FF28" s="41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  <c r="GG28" s="41"/>
      <c r="GH28" s="41"/>
      <c r="GI28" s="41"/>
      <c r="GJ28" s="41"/>
      <c r="GK28" s="41"/>
      <c r="GL28" s="41"/>
      <c r="GM28" s="41"/>
      <c r="GN28" s="41"/>
    </row>
    <row r="29" spans="1:196" ht="52.2" x14ac:dyDescent="0.4">
      <c r="A29" s="57">
        <v>22</v>
      </c>
      <c r="B29" s="88" t="str">
        <f>사원명부!B29</f>
        <v>사원</v>
      </c>
      <c r="C29" s="89" t="str">
        <f>사원명부!D29</f>
        <v>강영은</v>
      </c>
      <c r="D29" s="90" t="str">
        <f>IF(B29=0,"-",사원명부!E29)</f>
        <v>2022-08-03</v>
      </c>
      <c r="E29" s="91">
        <f t="shared" si="0"/>
        <v>44777</v>
      </c>
      <c r="F29" s="58">
        <v>15</v>
      </c>
      <c r="G29" s="59"/>
      <c r="H29" s="99">
        <f t="shared" si="5"/>
        <v>15</v>
      </c>
      <c r="I29" s="100">
        <f t="shared" si="2"/>
        <v>5</v>
      </c>
      <c r="J29" s="101">
        <f t="shared" si="6"/>
        <v>10</v>
      </c>
      <c r="K29" s="60" t="s">
        <v>142</v>
      </c>
      <c r="L29" s="61" t="s">
        <v>140</v>
      </c>
      <c r="M29" s="61" t="s">
        <v>200</v>
      </c>
      <c r="N29" s="61"/>
      <c r="O29" s="61"/>
      <c r="P29" s="61" t="s">
        <v>198</v>
      </c>
      <c r="Q29" s="61" t="s">
        <v>199</v>
      </c>
      <c r="R29" s="61" t="s">
        <v>167</v>
      </c>
      <c r="S29" s="61"/>
      <c r="T29" s="61"/>
      <c r="U29" s="61"/>
      <c r="V29" s="62"/>
      <c r="W29" s="109">
        <f t="shared" si="4"/>
        <v>5</v>
      </c>
      <c r="X29" s="113">
        <v>4</v>
      </c>
      <c r="Y29" s="63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GE29" s="41"/>
      <c r="GF29" s="41"/>
      <c r="GG29" s="41"/>
      <c r="GH29" s="41"/>
      <c r="GI29" s="41"/>
      <c r="GJ29" s="41"/>
      <c r="GK29" s="41"/>
      <c r="GL29" s="41"/>
      <c r="GM29" s="41"/>
      <c r="GN29" s="41"/>
    </row>
    <row r="30" spans="1:196" ht="34.799999999999997" x14ac:dyDescent="0.4">
      <c r="A30" s="57">
        <v>23</v>
      </c>
      <c r="B30" s="88" t="str">
        <f>사원명부!B30</f>
        <v>사원</v>
      </c>
      <c r="C30" s="89" t="str">
        <f>사원명부!D30</f>
        <v>이한빈</v>
      </c>
      <c r="D30" s="90" t="str">
        <f>IF(B30=0,"-",사원명부!E30)</f>
        <v>2023-01-01</v>
      </c>
      <c r="E30" s="91">
        <f t="shared" si="0"/>
        <v>44928</v>
      </c>
      <c r="F30" s="58">
        <v>15</v>
      </c>
      <c r="G30" s="59"/>
      <c r="H30" s="99">
        <f t="shared" si="5"/>
        <v>15</v>
      </c>
      <c r="I30" s="100">
        <f t="shared" si="2"/>
        <v>8.5</v>
      </c>
      <c r="J30" s="101">
        <f t="shared" si="6"/>
        <v>6.5</v>
      </c>
      <c r="K30" s="60" t="s">
        <v>138</v>
      </c>
      <c r="L30" s="61" t="s">
        <v>261</v>
      </c>
      <c r="M30" s="61" t="s">
        <v>159</v>
      </c>
      <c r="N30" s="61" t="s">
        <v>170</v>
      </c>
      <c r="O30" s="61"/>
      <c r="P30" s="61" t="s">
        <v>186</v>
      </c>
      <c r="Q30" s="61" t="s">
        <v>192</v>
      </c>
      <c r="R30" s="61" t="s">
        <v>270</v>
      </c>
      <c r="S30" s="61"/>
      <c r="T30" s="61"/>
      <c r="U30" s="61"/>
      <c r="V30" s="62"/>
      <c r="W30" s="109">
        <f t="shared" si="4"/>
        <v>8.5</v>
      </c>
      <c r="X30" s="113">
        <v>1.5</v>
      </c>
      <c r="Y30" s="63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  <c r="DR30" s="41"/>
      <c r="DS30" s="41"/>
      <c r="DT30" s="41"/>
      <c r="DU30" s="41"/>
      <c r="DV30" s="41"/>
      <c r="DW30" s="41"/>
      <c r="DX30" s="41"/>
      <c r="DY30" s="41"/>
      <c r="DZ30" s="41"/>
      <c r="EA30" s="41"/>
      <c r="EB30" s="41"/>
      <c r="EC30" s="41"/>
      <c r="ED30" s="41"/>
      <c r="EE30" s="41"/>
      <c r="EF30" s="41"/>
      <c r="EG30" s="41"/>
      <c r="EH30" s="41"/>
      <c r="EI30" s="41"/>
      <c r="EJ30" s="41"/>
      <c r="EK30" s="41"/>
      <c r="EL30" s="41"/>
      <c r="EM30" s="41"/>
      <c r="EN30" s="41"/>
      <c r="EO30" s="41"/>
      <c r="EP30" s="41"/>
      <c r="EQ30" s="41"/>
      <c r="ER30" s="41"/>
      <c r="ES30" s="41"/>
      <c r="ET30" s="41"/>
      <c r="EU30" s="41"/>
      <c r="EV30" s="41"/>
      <c r="EW30" s="41"/>
      <c r="EX30" s="41"/>
      <c r="EY30" s="41"/>
      <c r="EZ30" s="41"/>
      <c r="FA30" s="41"/>
      <c r="FB30" s="41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1"/>
      <c r="GC30" s="41"/>
      <c r="GD30" s="41"/>
      <c r="GE30" s="41"/>
      <c r="GF30" s="41"/>
      <c r="GG30" s="41"/>
      <c r="GH30" s="41"/>
      <c r="GI30" s="41"/>
      <c r="GJ30" s="41"/>
      <c r="GK30" s="41"/>
      <c r="GL30" s="41"/>
      <c r="GM30" s="41"/>
      <c r="GN30" s="41"/>
    </row>
    <row r="31" spans="1:196" ht="34.799999999999997" x14ac:dyDescent="0.4">
      <c r="A31" s="57">
        <v>24</v>
      </c>
      <c r="B31" s="88" t="str">
        <f>사원명부!B31</f>
        <v>사원</v>
      </c>
      <c r="C31" s="89" t="str">
        <f>사원명부!D31</f>
        <v>백현덕</v>
      </c>
      <c r="D31" s="90" t="str">
        <f>IF(B31=0,"-",사원명부!E31)</f>
        <v>2023-03-06</v>
      </c>
      <c r="E31" s="91">
        <f t="shared" si="0"/>
        <v>44992</v>
      </c>
      <c r="F31" s="58">
        <v>15</v>
      </c>
      <c r="G31" s="59"/>
      <c r="H31" s="99">
        <f t="shared" si="5"/>
        <v>15</v>
      </c>
      <c r="I31" s="100">
        <f t="shared" si="2"/>
        <v>5.5</v>
      </c>
      <c r="J31" s="101">
        <f t="shared" si="6"/>
        <v>9.5</v>
      </c>
      <c r="K31" s="60" t="s">
        <v>143</v>
      </c>
      <c r="L31" s="61">
        <v>28</v>
      </c>
      <c r="M31" s="61" t="s">
        <v>155</v>
      </c>
      <c r="N31" s="61"/>
      <c r="O31" s="61"/>
      <c r="P31" s="61" t="s">
        <v>262</v>
      </c>
      <c r="Q31" s="61"/>
      <c r="R31" s="61" t="s">
        <v>170</v>
      </c>
      <c r="S31" s="61"/>
      <c r="T31" s="61"/>
      <c r="U31" s="61"/>
      <c r="V31" s="62"/>
      <c r="W31" s="109">
        <f t="shared" si="4"/>
        <v>5.5</v>
      </c>
      <c r="X31" s="113">
        <v>1.5</v>
      </c>
      <c r="Y31" s="63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41"/>
      <c r="DH31" s="41"/>
      <c r="DI31" s="41"/>
      <c r="DJ31" s="41"/>
      <c r="DK31" s="41"/>
      <c r="DL31" s="41"/>
      <c r="DM31" s="41"/>
      <c r="DN31" s="41"/>
      <c r="DO31" s="41"/>
      <c r="DP31" s="41"/>
      <c r="DQ31" s="41"/>
      <c r="DR31" s="41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  <c r="FQ31" s="41"/>
      <c r="FR31" s="41"/>
      <c r="FS31" s="41"/>
      <c r="FT31" s="41"/>
      <c r="FU31" s="41"/>
      <c r="FV31" s="41"/>
      <c r="FW31" s="41"/>
      <c r="FX31" s="41"/>
      <c r="FY31" s="41"/>
      <c r="FZ31" s="41"/>
      <c r="GA31" s="41"/>
      <c r="GB31" s="41"/>
      <c r="GC31" s="41"/>
      <c r="GD31" s="41"/>
      <c r="GE31" s="41"/>
      <c r="GF31" s="41"/>
      <c r="GG31" s="41"/>
      <c r="GH31" s="41"/>
      <c r="GI31" s="41"/>
      <c r="GJ31" s="41"/>
      <c r="GK31" s="41"/>
      <c r="GL31" s="41"/>
      <c r="GM31" s="41"/>
      <c r="GN31" s="41"/>
    </row>
    <row r="32" spans="1:196" ht="19.2" x14ac:dyDescent="0.4">
      <c r="A32" s="57">
        <v>25</v>
      </c>
      <c r="B32" s="88" t="str">
        <f>사원명부!B32</f>
        <v>사원</v>
      </c>
      <c r="C32" s="89" t="str">
        <f>사원명부!D32</f>
        <v>이종근</v>
      </c>
      <c r="D32" s="90">
        <f>IF(B32=0,"-",사원명부!E32)</f>
        <v>45586</v>
      </c>
      <c r="E32" s="91">
        <f t="shared" si="0"/>
        <v>45587</v>
      </c>
      <c r="F32" s="58">
        <v>15</v>
      </c>
      <c r="G32" s="59"/>
      <c r="H32" s="99">
        <f t="shared" si="5"/>
        <v>15</v>
      </c>
      <c r="I32" s="100">
        <f t="shared" si="2"/>
        <v>6</v>
      </c>
      <c r="J32" s="101">
        <f t="shared" si="6"/>
        <v>9</v>
      </c>
      <c r="K32" s="60"/>
      <c r="L32" s="61"/>
      <c r="M32" s="61"/>
      <c r="N32" s="61" t="s">
        <v>170</v>
      </c>
      <c r="O32" s="61"/>
      <c r="P32" s="61" t="s">
        <v>187</v>
      </c>
      <c r="Q32" s="61" t="s">
        <v>191</v>
      </c>
      <c r="R32" s="61" t="s">
        <v>167</v>
      </c>
      <c r="S32" s="61"/>
      <c r="T32" s="61"/>
      <c r="U32" s="61"/>
      <c r="V32" s="62"/>
      <c r="W32" s="109">
        <f t="shared" si="4"/>
        <v>6</v>
      </c>
      <c r="X32" s="113"/>
      <c r="Y32" s="63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1"/>
      <c r="DK32" s="41"/>
      <c r="DL32" s="41"/>
      <c r="DM32" s="41"/>
      <c r="DN32" s="41"/>
      <c r="DO32" s="41"/>
      <c r="DP32" s="41"/>
      <c r="DQ32" s="41"/>
      <c r="DR32" s="41"/>
      <c r="DS32" s="41"/>
      <c r="DT32" s="41"/>
      <c r="DU32" s="41"/>
      <c r="DV32" s="41"/>
      <c r="DW32" s="41"/>
      <c r="DX32" s="41"/>
      <c r="DY32" s="41"/>
      <c r="DZ32" s="41"/>
      <c r="EA32" s="41"/>
      <c r="EB32" s="41"/>
      <c r="EC32" s="41"/>
      <c r="ED32" s="41"/>
      <c r="EE32" s="41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1"/>
      <c r="EX32" s="41"/>
      <c r="EY32" s="41"/>
      <c r="EZ32" s="41"/>
      <c r="FA32" s="41"/>
      <c r="FB32" s="41"/>
      <c r="FC32" s="41"/>
      <c r="FD32" s="41"/>
      <c r="FE32" s="41"/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1"/>
      <c r="GA32" s="41"/>
      <c r="GB32" s="41"/>
      <c r="GC32" s="41"/>
      <c r="GD32" s="41"/>
      <c r="GE32" s="41"/>
      <c r="GF32" s="41"/>
      <c r="GG32" s="41"/>
      <c r="GH32" s="41"/>
      <c r="GI32" s="41"/>
      <c r="GJ32" s="41"/>
      <c r="GK32" s="41"/>
      <c r="GL32" s="41"/>
      <c r="GM32" s="41"/>
      <c r="GN32" s="41"/>
    </row>
    <row r="33" spans="1:196" ht="19.2" x14ac:dyDescent="0.4">
      <c r="A33" s="57">
        <v>26</v>
      </c>
      <c r="B33" s="88" t="str">
        <f>사원명부!B33</f>
        <v>사원</v>
      </c>
      <c r="C33" s="89" t="str">
        <f>사원명부!D33</f>
        <v>이채령</v>
      </c>
      <c r="D33" s="90">
        <f>IF(B33=0,"-",사원명부!E33)</f>
        <v>45663</v>
      </c>
      <c r="E33" s="91">
        <f t="shared" si="0"/>
        <v>45664</v>
      </c>
      <c r="F33" s="58">
        <v>11</v>
      </c>
      <c r="G33" s="59"/>
      <c r="H33" s="99">
        <f t="shared" si="5"/>
        <v>11</v>
      </c>
      <c r="I33" s="100">
        <f t="shared" si="2"/>
        <v>2</v>
      </c>
      <c r="J33" s="101">
        <f t="shared" si="6"/>
        <v>9</v>
      </c>
      <c r="K33" s="60" t="s">
        <v>145</v>
      </c>
      <c r="L33" s="61" t="s">
        <v>144</v>
      </c>
      <c r="M33" s="61" t="s">
        <v>221</v>
      </c>
      <c r="N33" s="61"/>
      <c r="O33" s="61"/>
      <c r="Q33" s="61"/>
      <c r="R33" s="61" t="s">
        <v>144</v>
      </c>
      <c r="S33" s="61"/>
      <c r="T33" s="61"/>
      <c r="U33" s="61"/>
      <c r="V33" s="62"/>
      <c r="W33" s="109">
        <f>LEN(K33)-LEN(SUBSTITUTE(K33,",",""))+1-COUNTBLANK(K33)+LEN(L33)-LEN(SUBSTITUTE(L33,",",""))+1-COUNTBLANK(L33)+LEN(M33)-LEN(SUBSTITUTE(M33,",",""))+1-COUNTBLANK(M33)+LEN(N33)-LEN(SUBSTITUTE(N33,",",""))+1-COUNTBLANK(N33)+LEN(O33)-LEN(SUBSTITUTE(O33,",",""))+1-COUNTBLANK(O33)+LEN(P34)-LEN(SUBSTITUTE(P34,",",""))+1-COUNTBLANK(P34)+LEN(Q33)-LEN(SUBSTITUTE(Q33,",",""))+1-COUNTBLANK(Q33)+LEN(R33)-LEN(SUBSTITUTE(R33,",",""))+1-COUNTBLANK(R33)+LEN(S33)-LEN(SUBSTITUTE(S33,",",""))+1-COUNTBLANK(S33)+LEN(T33)-LEN(SUBSTITUTE(T33,",",""))+1-COUNTBLANK(T33)+LEN(U33)-LEN(SUBSTITUTE(U33,",",""))+1-COUNTBLANK(U33)+LEN(V33)-LEN(SUBSTITUTE(V33,",",""))+1-COUNTBLANK(V33)-X33</f>
        <v>2</v>
      </c>
      <c r="X33" s="113">
        <v>2</v>
      </c>
      <c r="Y33" s="63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1"/>
      <c r="DG33" s="41"/>
      <c r="DH33" s="41"/>
      <c r="DI33" s="41"/>
      <c r="DJ33" s="41"/>
      <c r="DK33" s="41"/>
      <c r="DL33" s="41"/>
      <c r="DM33" s="41"/>
      <c r="DN33" s="41"/>
      <c r="DO33" s="41"/>
      <c r="DP33" s="41"/>
      <c r="DQ33" s="41"/>
      <c r="DR33" s="41"/>
      <c r="DS33" s="41"/>
      <c r="DT33" s="41"/>
      <c r="DU33" s="41"/>
      <c r="DV33" s="41"/>
      <c r="DW33" s="41"/>
      <c r="DX33" s="41"/>
      <c r="DY33" s="41"/>
      <c r="DZ33" s="41"/>
      <c r="EA33" s="41"/>
      <c r="EB33" s="41"/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41"/>
      <c r="ER33" s="41"/>
      <c r="ES33" s="41"/>
      <c r="ET33" s="41"/>
      <c r="EU33" s="41"/>
      <c r="EV33" s="41"/>
      <c r="EW33" s="41"/>
      <c r="EX33" s="41"/>
      <c r="EY33" s="41"/>
      <c r="EZ33" s="41"/>
      <c r="FA33" s="41"/>
      <c r="FB33" s="41"/>
      <c r="FC33" s="41"/>
      <c r="FD33" s="41"/>
      <c r="FE33" s="41"/>
      <c r="FF33" s="41"/>
      <c r="FG33" s="41"/>
      <c r="FH33" s="41"/>
      <c r="FI33" s="41"/>
      <c r="FJ33" s="41"/>
      <c r="FK33" s="41"/>
      <c r="FL33" s="41"/>
      <c r="FM33" s="41"/>
      <c r="FN33" s="41"/>
      <c r="FO33" s="41"/>
      <c r="FP33" s="41"/>
      <c r="FQ33" s="41"/>
      <c r="FR33" s="41"/>
      <c r="FS33" s="41"/>
      <c r="FT33" s="41"/>
      <c r="FU33" s="41"/>
      <c r="FV33" s="41"/>
      <c r="FW33" s="41"/>
      <c r="FX33" s="41"/>
      <c r="FY33" s="41"/>
      <c r="FZ33" s="41"/>
      <c r="GA33" s="41"/>
      <c r="GB33" s="41"/>
      <c r="GC33" s="41"/>
      <c r="GD33" s="41"/>
      <c r="GE33" s="41"/>
      <c r="GF33" s="41"/>
      <c r="GG33" s="41"/>
      <c r="GH33" s="41"/>
      <c r="GI33" s="41"/>
      <c r="GJ33" s="41"/>
      <c r="GK33" s="41"/>
      <c r="GL33" s="41"/>
      <c r="GM33" s="41"/>
      <c r="GN33" s="41"/>
    </row>
    <row r="34" spans="1:196" ht="19.2" x14ac:dyDescent="0.4">
      <c r="A34" s="57">
        <v>27</v>
      </c>
      <c r="B34" s="88">
        <f>사원명부!B34</f>
        <v>0</v>
      </c>
      <c r="C34" s="89">
        <f>사원명부!D34</f>
        <v>0</v>
      </c>
      <c r="D34" s="90" t="str">
        <f>IF(B34=0,"-",사원명부!E34)</f>
        <v>-</v>
      </c>
      <c r="E34" s="91" t="str">
        <f t="shared" si="0"/>
        <v>-</v>
      </c>
      <c r="F34" s="58"/>
      <c r="G34" s="59"/>
      <c r="H34" s="99">
        <f t="shared" si="5"/>
        <v>0</v>
      </c>
      <c r="I34" s="100" t="e">
        <f t="shared" si="2"/>
        <v>#REF!</v>
      </c>
      <c r="J34" s="101" t="str">
        <f t="shared" si="6"/>
        <v/>
      </c>
      <c r="K34" s="60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2"/>
      <c r="W34" s="109" t="e">
        <f>LEN(K34)-LEN(SUBSTITUTE(K34,",",""))+1-COUNTBLANK(K34)+LEN(L34)-LEN(SUBSTITUTE(L34,",",""))+1-COUNTBLANK(L34)+LEN(M34)-LEN(SUBSTITUTE(M34,",",""))+1-COUNTBLANK(M34)+LEN(N34)-LEN(SUBSTITUTE(N34,",",""))+1-COUNTBLANK(N34)+LEN(O34)-LEN(SUBSTITUTE(O34,",",""))+1-COUNTBLANK(O34)+LEN(#REF!)-LEN(SUBSTITUTE(#REF!,",",""))+1-COUNTBLANK(#REF!)+LEN(Q34)-LEN(SUBSTITUTE(Q34,",",""))+1-COUNTBLANK(Q34)+LEN(R34)-LEN(SUBSTITUTE(R34,",",""))+1-COUNTBLANK(R34)+LEN(S34)-LEN(SUBSTITUTE(S34,",",""))+1-COUNTBLANK(S34)+LEN(T34)-LEN(SUBSTITUTE(T34,",",""))+1-COUNTBLANK(T34)+LEN(U34)-LEN(SUBSTITUTE(U34,",",""))+1-COUNTBLANK(U34)+LEN(V34)-LEN(SUBSTITUTE(V34,",",""))+1-COUNTBLANK(V34)-X34</f>
        <v>#REF!</v>
      </c>
      <c r="X34" s="113"/>
      <c r="Y34" s="63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1"/>
      <c r="DD34" s="41"/>
      <c r="DE34" s="41"/>
      <c r="DF34" s="41"/>
      <c r="DG34" s="41"/>
      <c r="DH34" s="41"/>
      <c r="DI34" s="41"/>
      <c r="DJ34" s="41"/>
      <c r="DK34" s="41"/>
      <c r="DL34" s="41"/>
      <c r="DM34" s="41"/>
      <c r="DN34" s="41"/>
      <c r="DO34" s="41"/>
      <c r="DP34" s="41"/>
      <c r="DQ34" s="41"/>
      <c r="DR34" s="41"/>
      <c r="DS34" s="41"/>
      <c r="DT34" s="41"/>
      <c r="DU34" s="41"/>
      <c r="DV34" s="41"/>
      <c r="DW34" s="41"/>
      <c r="DX34" s="41"/>
      <c r="DY34" s="41"/>
      <c r="DZ34" s="41"/>
      <c r="EA34" s="41"/>
      <c r="EB34" s="41"/>
      <c r="EC34" s="41"/>
      <c r="ED34" s="41"/>
      <c r="EE34" s="41"/>
      <c r="EF34" s="41"/>
      <c r="EG34" s="41"/>
      <c r="EH34" s="41"/>
      <c r="EI34" s="41"/>
      <c r="EJ34" s="41"/>
      <c r="EK34" s="41"/>
      <c r="EL34" s="41"/>
      <c r="EM34" s="41"/>
      <c r="EN34" s="41"/>
      <c r="EO34" s="41"/>
      <c r="EP34" s="41"/>
      <c r="EQ34" s="41"/>
      <c r="ER34" s="41"/>
      <c r="ES34" s="41"/>
      <c r="ET34" s="41"/>
      <c r="EU34" s="41"/>
      <c r="EV34" s="41"/>
      <c r="EW34" s="41"/>
      <c r="EX34" s="41"/>
      <c r="EY34" s="41"/>
      <c r="EZ34" s="41"/>
      <c r="FA34" s="41"/>
      <c r="FB34" s="41"/>
      <c r="FC34" s="41"/>
      <c r="FD34" s="41"/>
      <c r="FE34" s="41"/>
      <c r="FF34" s="41"/>
      <c r="FG34" s="41"/>
      <c r="FH34" s="41"/>
      <c r="FI34" s="41"/>
      <c r="FJ34" s="41"/>
      <c r="FK34" s="41"/>
      <c r="FL34" s="41"/>
      <c r="FM34" s="41"/>
      <c r="FN34" s="41"/>
      <c r="FO34" s="41"/>
      <c r="FP34" s="41"/>
      <c r="FQ34" s="41"/>
      <c r="FR34" s="41"/>
      <c r="FS34" s="41"/>
      <c r="FT34" s="41"/>
      <c r="FU34" s="41"/>
      <c r="FV34" s="41"/>
      <c r="FW34" s="41"/>
      <c r="FX34" s="41"/>
      <c r="FY34" s="41"/>
      <c r="FZ34" s="41"/>
      <c r="GA34" s="41"/>
      <c r="GB34" s="41"/>
      <c r="GC34" s="41"/>
      <c r="GD34" s="41"/>
      <c r="GE34" s="41"/>
      <c r="GF34" s="41"/>
      <c r="GG34" s="41"/>
      <c r="GH34" s="41"/>
      <c r="GI34" s="41"/>
      <c r="GJ34" s="41"/>
      <c r="GK34" s="41"/>
      <c r="GL34" s="41"/>
      <c r="GM34" s="41"/>
      <c r="GN34" s="41"/>
    </row>
    <row r="35" spans="1:196" ht="34.799999999999997" x14ac:dyDescent="0.4">
      <c r="A35" s="57">
        <v>28</v>
      </c>
      <c r="B35" s="88" t="str">
        <f>사원명부!B35</f>
        <v>사원</v>
      </c>
      <c r="C35" s="89" t="str">
        <f>사원명부!D35</f>
        <v>최창진</v>
      </c>
      <c r="D35" s="90">
        <f>IF(B35=0,"-",사원명부!E35)</f>
        <v>45694</v>
      </c>
      <c r="E35" s="91">
        <f t="shared" si="0"/>
        <v>45695</v>
      </c>
      <c r="F35" s="58">
        <v>10</v>
      </c>
      <c r="G35" s="59"/>
      <c r="H35" s="99">
        <f t="shared" si="5"/>
        <v>10</v>
      </c>
      <c r="I35" s="100">
        <f t="shared" si="2"/>
        <v>3</v>
      </c>
      <c r="J35" s="101">
        <f t="shared" si="6"/>
        <v>7</v>
      </c>
      <c r="K35" s="60"/>
      <c r="L35" s="61"/>
      <c r="M35" s="61" t="s">
        <v>163</v>
      </c>
      <c r="N35" s="61" t="s">
        <v>184</v>
      </c>
      <c r="O35" s="61"/>
      <c r="P35" s="61" t="s">
        <v>263</v>
      </c>
      <c r="Q35" s="61"/>
      <c r="R35" s="61" t="s">
        <v>140</v>
      </c>
      <c r="S35" s="61"/>
      <c r="T35" s="61"/>
      <c r="U35" s="61"/>
      <c r="V35" s="62"/>
      <c r="W35" s="109">
        <f>LEN(K35)-LEN(SUBSTITUTE(K35,",",""))+1-COUNTBLANK(K35)+LEN(L35)-LEN(SUBSTITUTE(L35,",",""))+1-COUNTBLANK(L35)+LEN(M35)-LEN(SUBSTITUTE(M35,",",""))+1-COUNTBLANK(M35)+LEN(N35)-LEN(SUBSTITUTE(N35,",",""))+1-COUNTBLANK(N35)+LEN(O35)-LEN(SUBSTITUTE(O35,",",""))+1-COUNTBLANK(O35)+LEN(P35)-LEN(SUBSTITUTE(P35,",",""))+1-COUNTBLANK(P35)+LEN(Q35)-LEN(SUBSTITUTE(Q35,",",""))+1-COUNTBLANK(Q35)+LEN(R35)-LEN(SUBSTITUTE(R35,",",""))+1-COUNTBLANK(R35)+LEN(S35)-LEN(SUBSTITUTE(S35,",",""))+1-COUNTBLANK(S35)+LEN(T35)-LEN(SUBSTITUTE(T35,",",""))+1-COUNTBLANK(T35)+LEN(U35)-LEN(SUBSTITUTE(U35,",",""))+1-COUNTBLANK(U35)+LEN(V35)-LEN(SUBSTITUTE(V35,",",""))+1-COUNTBLANK(V35)-X35</f>
        <v>3</v>
      </c>
      <c r="X35" s="113">
        <v>2</v>
      </c>
      <c r="Y35" s="63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  <c r="DD35" s="41"/>
      <c r="DE35" s="41"/>
      <c r="DF35" s="41"/>
      <c r="DG35" s="41"/>
      <c r="DH35" s="41"/>
      <c r="DI35" s="41"/>
      <c r="DJ35" s="41"/>
      <c r="DK35" s="41"/>
      <c r="DL35" s="41"/>
      <c r="DM35" s="41"/>
      <c r="DN35" s="41"/>
      <c r="DO35" s="41"/>
      <c r="DP35" s="41"/>
      <c r="DQ35" s="41"/>
      <c r="DR35" s="41"/>
      <c r="DS35" s="41"/>
      <c r="DT35" s="41"/>
      <c r="DU35" s="41"/>
      <c r="DV35" s="41"/>
      <c r="DW35" s="41"/>
      <c r="DX35" s="41"/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41"/>
      <c r="EW35" s="41"/>
      <c r="EX35" s="41"/>
      <c r="EY35" s="41"/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1"/>
      <c r="GA35" s="41"/>
      <c r="GB35" s="41"/>
      <c r="GC35" s="41"/>
      <c r="GD35" s="41"/>
      <c r="GE35" s="41"/>
      <c r="GF35" s="41"/>
      <c r="GG35" s="41"/>
      <c r="GH35" s="41"/>
      <c r="GI35" s="41"/>
      <c r="GJ35" s="41"/>
      <c r="GK35" s="41"/>
      <c r="GL35" s="41"/>
      <c r="GM35" s="41"/>
      <c r="GN35" s="41"/>
    </row>
    <row r="36" spans="1:196" ht="19.2" x14ac:dyDescent="0.4">
      <c r="A36" s="57">
        <v>29</v>
      </c>
      <c r="B36" s="88">
        <f>사원명부!B36</f>
        <v>0</v>
      </c>
      <c r="C36" s="89">
        <f>사원명부!D36</f>
        <v>0</v>
      </c>
      <c r="D36" s="90" t="str">
        <f>IF(B36=0,"-",사원명부!E36)</f>
        <v>-</v>
      </c>
      <c r="E36" s="91" t="str">
        <f t="shared" si="0"/>
        <v>-</v>
      </c>
      <c r="F36" s="58"/>
      <c r="G36" s="59"/>
      <c r="H36" s="99">
        <f t="shared" si="5"/>
        <v>0</v>
      </c>
      <c r="I36" s="100">
        <f t="shared" si="2"/>
        <v>0</v>
      </c>
      <c r="J36" s="101">
        <f t="shared" si="6"/>
        <v>0</v>
      </c>
      <c r="K36" s="60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2"/>
      <c r="W36" s="109">
        <f t="shared" si="4"/>
        <v>0</v>
      </c>
      <c r="X36" s="113"/>
      <c r="Y36" s="63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  <c r="CZ36" s="41"/>
      <c r="DA36" s="41"/>
      <c r="DB36" s="41"/>
      <c r="DC36" s="41"/>
      <c r="DD36" s="41"/>
      <c r="DE36" s="41"/>
      <c r="DF36" s="41"/>
      <c r="DG36" s="41"/>
      <c r="DH36" s="41"/>
      <c r="DI36" s="41"/>
      <c r="DJ36" s="41"/>
      <c r="DK36" s="41"/>
      <c r="DL36" s="41"/>
      <c r="DM36" s="41"/>
      <c r="DN36" s="41"/>
      <c r="DO36" s="41"/>
      <c r="DP36" s="41"/>
      <c r="DQ36" s="41"/>
      <c r="DR36" s="41"/>
      <c r="DS36" s="41"/>
      <c r="DT36" s="41"/>
      <c r="DU36" s="41"/>
      <c r="DV36" s="41"/>
      <c r="DW36" s="41"/>
      <c r="DX36" s="41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41"/>
      <c r="EV36" s="41"/>
      <c r="EW36" s="41"/>
      <c r="EX36" s="41"/>
      <c r="EY36" s="41"/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  <c r="FQ36" s="41"/>
      <c r="FR36" s="41"/>
      <c r="FS36" s="41"/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  <c r="GG36" s="41"/>
      <c r="GH36" s="41"/>
      <c r="GI36" s="41"/>
      <c r="GJ36" s="41"/>
      <c r="GK36" s="41"/>
      <c r="GL36" s="41"/>
      <c r="GM36" s="41"/>
      <c r="GN36" s="41"/>
    </row>
    <row r="37" spans="1:196" ht="19.2" x14ac:dyDescent="0.4">
      <c r="A37" s="57">
        <v>30</v>
      </c>
      <c r="B37" s="88">
        <f>사원명부!B37</f>
        <v>0</v>
      </c>
      <c r="C37" s="89">
        <f>사원명부!D37</f>
        <v>0</v>
      </c>
      <c r="D37" s="90" t="str">
        <f>IF(B37=0,"-",사원명부!E37)</f>
        <v>-</v>
      </c>
      <c r="E37" s="91" t="str">
        <f t="shared" si="0"/>
        <v>-</v>
      </c>
      <c r="F37" s="58"/>
      <c r="G37" s="59"/>
      <c r="H37" s="99">
        <f t="shared" si="5"/>
        <v>0</v>
      </c>
      <c r="I37" s="100">
        <f t="shared" si="2"/>
        <v>0</v>
      </c>
      <c r="J37" s="101">
        <f t="shared" si="6"/>
        <v>0</v>
      </c>
      <c r="K37" s="60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2"/>
      <c r="W37" s="109">
        <f t="shared" si="4"/>
        <v>0</v>
      </c>
      <c r="X37" s="113"/>
      <c r="Y37" s="63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1"/>
      <c r="DQ37" s="41"/>
      <c r="DR37" s="41"/>
      <c r="DS37" s="41"/>
      <c r="DT37" s="41"/>
      <c r="DU37" s="41"/>
      <c r="DV37" s="41"/>
      <c r="DW37" s="41"/>
      <c r="DX37" s="41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  <c r="GG37" s="41"/>
      <c r="GH37" s="41"/>
      <c r="GI37" s="41"/>
      <c r="GJ37" s="41"/>
      <c r="GK37" s="41"/>
      <c r="GL37" s="41"/>
      <c r="GM37" s="41"/>
      <c r="GN37" s="41"/>
    </row>
    <row r="38" spans="1:196" ht="19.2" x14ac:dyDescent="0.4">
      <c r="A38" s="57">
        <v>31</v>
      </c>
      <c r="B38" s="88">
        <f>사원명부!B38</f>
        <v>0</v>
      </c>
      <c r="C38" s="89">
        <f>사원명부!D38</f>
        <v>0</v>
      </c>
      <c r="D38" s="90" t="str">
        <f>IF(B38=0,"-",사원명부!E38)</f>
        <v>-</v>
      </c>
      <c r="E38" s="91" t="str">
        <f t="shared" si="0"/>
        <v>-</v>
      </c>
      <c r="F38" s="58"/>
      <c r="G38" s="59"/>
      <c r="H38" s="99">
        <f t="shared" si="5"/>
        <v>0</v>
      </c>
      <c r="I38" s="100">
        <f t="shared" si="2"/>
        <v>0</v>
      </c>
      <c r="J38" s="101">
        <f t="shared" si="6"/>
        <v>0</v>
      </c>
      <c r="K38" s="60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2"/>
      <c r="W38" s="109">
        <f t="shared" si="4"/>
        <v>0</v>
      </c>
      <c r="X38" s="113"/>
      <c r="Y38" s="63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1"/>
      <c r="CO38" s="41"/>
      <c r="CP38" s="41"/>
      <c r="CQ38" s="41"/>
      <c r="CR38" s="41"/>
      <c r="CS38" s="41"/>
      <c r="CT38" s="41"/>
      <c r="CU38" s="41"/>
      <c r="CV38" s="41"/>
      <c r="CW38" s="41"/>
      <c r="CX38" s="41"/>
      <c r="CY38" s="41"/>
      <c r="CZ38" s="41"/>
      <c r="DA38" s="41"/>
      <c r="DB38" s="41"/>
      <c r="DC38" s="41"/>
      <c r="DD38" s="41"/>
      <c r="DE38" s="41"/>
      <c r="DF38" s="41"/>
      <c r="DG38" s="41"/>
      <c r="DH38" s="41"/>
      <c r="DI38" s="41"/>
      <c r="DJ38" s="41"/>
      <c r="DK38" s="41"/>
      <c r="DL38" s="41"/>
      <c r="DM38" s="41"/>
      <c r="DN38" s="41"/>
      <c r="DO38" s="41"/>
      <c r="DP38" s="41"/>
      <c r="DQ38" s="41"/>
      <c r="DR38" s="41"/>
      <c r="DS38" s="41"/>
      <c r="DT38" s="41"/>
      <c r="DU38" s="41"/>
      <c r="DV38" s="41"/>
      <c r="DW38" s="41"/>
      <c r="DX38" s="41"/>
      <c r="DY38" s="41"/>
      <c r="DZ38" s="41"/>
      <c r="EA38" s="41"/>
      <c r="EB38" s="41"/>
      <c r="EC38" s="41"/>
      <c r="ED38" s="41"/>
      <c r="EE38" s="41"/>
      <c r="EF38" s="41"/>
      <c r="EG38" s="41"/>
      <c r="EH38" s="41"/>
      <c r="EI38" s="41"/>
      <c r="EJ38" s="41"/>
      <c r="EK38" s="41"/>
      <c r="EL38" s="41"/>
      <c r="EM38" s="41"/>
      <c r="EN38" s="41"/>
      <c r="EO38" s="41"/>
      <c r="EP38" s="41"/>
      <c r="EQ38" s="41"/>
      <c r="ER38" s="41"/>
      <c r="ES38" s="41"/>
      <c r="ET38" s="41"/>
      <c r="EU38" s="41"/>
      <c r="EV38" s="41"/>
      <c r="EW38" s="41"/>
      <c r="EX38" s="41"/>
      <c r="EY38" s="41"/>
      <c r="EZ38" s="41"/>
      <c r="FA38" s="41"/>
      <c r="FB38" s="41"/>
      <c r="FC38" s="41"/>
      <c r="FD38" s="41"/>
      <c r="FE38" s="41"/>
      <c r="FF38" s="41"/>
      <c r="FG38" s="41"/>
      <c r="FH38" s="41"/>
      <c r="FI38" s="41"/>
      <c r="FJ38" s="41"/>
      <c r="FK38" s="41"/>
      <c r="FL38" s="41"/>
      <c r="FM38" s="41"/>
      <c r="FN38" s="41"/>
      <c r="FO38" s="41"/>
      <c r="FP38" s="41"/>
      <c r="FQ38" s="41"/>
      <c r="FR38" s="41"/>
      <c r="FS38" s="41"/>
      <c r="FT38" s="41"/>
      <c r="FU38" s="41"/>
      <c r="FV38" s="41"/>
      <c r="FW38" s="41"/>
      <c r="FX38" s="41"/>
      <c r="FY38" s="41"/>
      <c r="FZ38" s="41"/>
      <c r="GA38" s="41"/>
      <c r="GB38" s="41"/>
      <c r="GC38" s="41"/>
      <c r="GD38" s="41"/>
      <c r="GE38" s="41"/>
      <c r="GF38" s="41"/>
      <c r="GG38" s="41"/>
      <c r="GH38" s="41"/>
      <c r="GI38" s="41"/>
      <c r="GJ38" s="41"/>
      <c r="GK38" s="41"/>
      <c r="GL38" s="41"/>
      <c r="GM38" s="41"/>
      <c r="GN38" s="41"/>
    </row>
    <row r="39" spans="1:196" ht="19.2" x14ac:dyDescent="0.4">
      <c r="A39" s="57">
        <v>32</v>
      </c>
      <c r="B39" s="88">
        <f>사원명부!B39</f>
        <v>0</v>
      </c>
      <c r="C39" s="89">
        <f>사원명부!D39</f>
        <v>0</v>
      </c>
      <c r="D39" s="90" t="str">
        <f>IF(B39=0,"-",사원명부!E39)</f>
        <v>-</v>
      </c>
      <c r="E39" s="91" t="str">
        <f t="shared" si="0"/>
        <v>-</v>
      </c>
      <c r="F39" s="58"/>
      <c r="G39" s="59"/>
      <c r="H39" s="99">
        <f t="shared" si="1"/>
        <v>0</v>
      </c>
      <c r="I39" s="100">
        <f t="shared" si="2"/>
        <v>0</v>
      </c>
      <c r="J39" s="101">
        <f t="shared" si="3"/>
        <v>0</v>
      </c>
      <c r="K39" s="60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2"/>
      <c r="W39" s="109">
        <f t="shared" si="4"/>
        <v>0</v>
      </c>
      <c r="X39" s="113"/>
      <c r="Y39" s="63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  <c r="CV39" s="41"/>
      <c r="CW39" s="41"/>
      <c r="CX39" s="41"/>
      <c r="CY39" s="41"/>
      <c r="CZ39" s="41"/>
      <c r="DA39" s="41"/>
      <c r="DB39" s="41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1"/>
      <c r="DQ39" s="41"/>
      <c r="DR39" s="41"/>
      <c r="DS39" s="41"/>
      <c r="DT39" s="41"/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1"/>
      <c r="ER39" s="41"/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1"/>
      <c r="FP39" s="41"/>
      <c r="FQ39" s="41"/>
      <c r="FR39" s="41"/>
      <c r="FS39" s="41"/>
      <c r="FT39" s="41"/>
      <c r="FU39" s="41"/>
      <c r="FV39" s="41"/>
      <c r="FW39" s="41"/>
      <c r="FX39" s="41"/>
      <c r="FY39" s="41"/>
      <c r="FZ39" s="41"/>
      <c r="GA39" s="41"/>
      <c r="GB39" s="41"/>
      <c r="GC39" s="41"/>
      <c r="GD39" s="41"/>
      <c r="GE39" s="41"/>
      <c r="GF39" s="41"/>
      <c r="GG39" s="41"/>
      <c r="GH39" s="41"/>
      <c r="GI39" s="41"/>
      <c r="GJ39" s="41"/>
      <c r="GK39" s="41"/>
      <c r="GL39" s="41"/>
      <c r="GM39" s="41"/>
      <c r="GN39" s="41"/>
    </row>
    <row r="40" spans="1:196" ht="19.2" x14ac:dyDescent="0.4">
      <c r="A40" s="57">
        <v>33</v>
      </c>
      <c r="B40" s="88">
        <f>사원명부!B40</f>
        <v>0</v>
      </c>
      <c r="C40" s="89">
        <f>사원명부!D40</f>
        <v>0</v>
      </c>
      <c r="D40" s="90" t="str">
        <f>IF(B40=0,"-",사원명부!E40)</f>
        <v>-</v>
      </c>
      <c r="E40" s="91" t="str">
        <f t="shared" si="0"/>
        <v>-</v>
      </c>
      <c r="F40" s="58"/>
      <c r="G40" s="59"/>
      <c r="H40" s="99">
        <f t="shared" si="1"/>
        <v>0</v>
      </c>
      <c r="I40" s="100">
        <f t="shared" si="2"/>
        <v>0</v>
      </c>
      <c r="J40" s="101">
        <f t="shared" si="3"/>
        <v>0</v>
      </c>
      <c r="K40" s="64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6"/>
      <c r="W40" s="109">
        <f t="shared" si="4"/>
        <v>0</v>
      </c>
      <c r="X40" s="113"/>
      <c r="Y40" s="67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  <c r="CR40" s="41"/>
      <c r="CS40" s="41"/>
      <c r="CT40" s="41"/>
      <c r="CU40" s="41"/>
      <c r="CV40" s="41"/>
      <c r="CW40" s="41"/>
      <c r="CX40" s="41"/>
      <c r="CY40" s="41"/>
      <c r="CZ40" s="41"/>
      <c r="DA40" s="41"/>
      <c r="DB40" s="41"/>
      <c r="DC40" s="41"/>
      <c r="DD40" s="41"/>
      <c r="DE40" s="41"/>
      <c r="DF40" s="41"/>
      <c r="DG40" s="41"/>
      <c r="DH40" s="41"/>
      <c r="DI40" s="41"/>
      <c r="DJ40" s="41"/>
      <c r="DK40" s="41"/>
      <c r="DL40" s="41"/>
      <c r="DM40" s="41"/>
      <c r="DN40" s="41"/>
      <c r="DO40" s="41"/>
      <c r="DP40" s="41"/>
      <c r="DQ40" s="41"/>
      <c r="DR40" s="41"/>
      <c r="DS40" s="41"/>
      <c r="DT40" s="41"/>
      <c r="DU40" s="41"/>
      <c r="DV40" s="41"/>
      <c r="DW40" s="41"/>
      <c r="DX40" s="41"/>
      <c r="DY40" s="41"/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1"/>
      <c r="EU40" s="41"/>
      <c r="EV40" s="41"/>
      <c r="EW40" s="41"/>
      <c r="EX40" s="41"/>
      <c r="EY40" s="41"/>
      <c r="EZ40" s="41"/>
      <c r="FA40" s="41"/>
      <c r="FB40" s="41"/>
      <c r="FC40" s="41"/>
      <c r="FD40" s="41"/>
      <c r="FE40" s="41"/>
      <c r="FF40" s="41"/>
      <c r="FG40" s="41"/>
      <c r="FH40" s="41"/>
      <c r="FI40" s="41"/>
      <c r="FJ40" s="41"/>
      <c r="FK40" s="41"/>
      <c r="FL40" s="41"/>
      <c r="FM40" s="41"/>
      <c r="FN40" s="41"/>
      <c r="FO40" s="41"/>
      <c r="FP40" s="41"/>
      <c r="FQ40" s="41"/>
      <c r="FR40" s="41"/>
      <c r="FS40" s="41"/>
      <c r="FT40" s="41"/>
      <c r="FU40" s="41"/>
      <c r="FV40" s="41"/>
      <c r="FW40" s="41"/>
      <c r="FX40" s="41"/>
      <c r="FY40" s="41"/>
      <c r="FZ40" s="41"/>
      <c r="GA40" s="41"/>
      <c r="GB40" s="41"/>
      <c r="GC40" s="41"/>
      <c r="GD40" s="41"/>
      <c r="GE40" s="41"/>
      <c r="GF40" s="41"/>
      <c r="GG40" s="41"/>
      <c r="GH40" s="41"/>
      <c r="GI40" s="41"/>
      <c r="GJ40" s="41"/>
      <c r="GK40" s="41"/>
      <c r="GL40" s="41"/>
      <c r="GM40" s="41"/>
      <c r="GN40" s="41"/>
    </row>
    <row r="41" spans="1:196" ht="19.2" x14ac:dyDescent="0.4">
      <c r="A41" s="57">
        <v>34</v>
      </c>
      <c r="B41" s="88">
        <f>사원명부!B41</f>
        <v>0</v>
      </c>
      <c r="C41" s="89">
        <f>사원명부!D41</f>
        <v>0</v>
      </c>
      <c r="D41" s="90" t="str">
        <f>IF(B41=0,"-",사원명부!E41)</f>
        <v>-</v>
      </c>
      <c r="E41" s="91" t="str">
        <f t="shared" si="0"/>
        <v>-</v>
      </c>
      <c r="F41" s="58"/>
      <c r="G41" s="59"/>
      <c r="H41" s="99">
        <f t="shared" si="1"/>
        <v>0</v>
      </c>
      <c r="I41" s="100">
        <f t="shared" si="2"/>
        <v>0</v>
      </c>
      <c r="J41" s="101">
        <f t="shared" si="3"/>
        <v>0</v>
      </c>
      <c r="K41" s="64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6"/>
      <c r="W41" s="109">
        <f t="shared" si="4"/>
        <v>0</v>
      </c>
      <c r="X41" s="113"/>
      <c r="Y41" s="67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41"/>
      <c r="CT41" s="41"/>
      <c r="CU41" s="41"/>
      <c r="CV41" s="41"/>
      <c r="CW41" s="41"/>
      <c r="CX41" s="41"/>
      <c r="CY41" s="41"/>
      <c r="CZ41" s="41"/>
      <c r="DA41" s="41"/>
      <c r="DB41" s="41"/>
      <c r="DC41" s="41"/>
      <c r="DD41" s="41"/>
      <c r="DE41" s="41"/>
      <c r="DF41" s="41"/>
      <c r="DG41" s="41"/>
      <c r="DH41" s="41"/>
      <c r="DI41" s="41"/>
      <c r="DJ41" s="41"/>
      <c r="DK41" s="41"/>
      <c r="DL41" s="41"/>
      <c r="DM41" s="41"/>
      <c r="DN41" s="41"/>
      <c r="DO41" s="41"/>
      <c r="DP41" s="41"/>
      <c r="DQ41" s="41"/>
      <c r="DR41" s="41"/>
      <c r="DS41" s="41"/>
      <c r="DT41" s="41"/>
      <c r="DU41" s="41"/>
      <c r="DV41" s="41"/>
      <c r="DW41" s="41"/>
      <c r="DX41" s="41"/>
      <c r="DY41" s="41"/>
      <c r="DZ41" s="41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1"/>
      <c r="EQ41" s="41"/>
      <c r="ER41" s="41"/>
      <c r="ES41" s="41"/>
      <c r="ET41" s="41"/>
      <c r="EU41" s="41"/>
      <c r="EV41" s="41"/>
      <c r="EW41" s="41"/>
      <c r="EX41" s="41"/>
      <c r="EY41" s="41"/>
      <c r="EZ41" s="41"/>
      <c r="FA41" s="41"/>
      <c r="FB41" s="41"/>
      <c r="FC41" s="41"/>
      <c r="FD41" s="41"/>
      <c r="FE41" s="41"/>
      <c r="FF41" s="41"/>
      <c r="FG41" s="41"/>
      <c r="FH41" s="41"/>
      <c r="FI41" s="41"/>
      <c r="FJ41" s="41"/>
      <c r="FK41" s="41"/>
      <c r="FL41" s="41"/>
      <c r="FM41" s="41"/>
      <c r="FN41" s="41"/>
      <c r="FO41" s="41"/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  <c r="GG41" s="41"/>
      <c r="GH41" s="41"/>
      <c r="GI41" s="41"/>
      <c r="GJ41" s="41"/>
      <c r="GK41" s="41"/>
      <c r="GL41" s="41"/>
      <c r="GM41" s="41"/>
      <c r="GN41" s="41"/>
    </row>
    <row r="42" spans="1:196" ht="19.2" x14ac:dyDescent="0.4">
      <c r="A42" s="57">
        <v>35</v>
      </c>
      <c r="B42" s="88">
        <f>사원명부!B42</f>
        <v>0</v>
      </c>
      <c r="C42" s="89">
        <f>사원명부!D42</f>
        <v>0</v>
      </c>
      <c r="D42" s="90" t="str">
        <f>IF(B42=0,"-",사원명부!E42)</f>
        <v>-</v>
      </c>
      <c r="E42" s="91" t="str">
        <f t="shared" si="0"/>
        <v>-</v>
      </c>
      <c r="F42" s="58"/>
      <c r="G42" s="59"/>
      <c r="H42" s="99">
        <f t="shared" si="1"/>
        <v>0</v>
      </c>
      <c r="I42" s="100">
        <f t="shared" si="2"/>
        <v>0</v>
      </c>
      <c r="J42" s="101">
        <f t="shared" si="3"/>
        <v>0</v>
      </c>
      <c r="K42" s="64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6"/>
      <c r="W42" s="109">
        <f t="shared" si="4"/>
        <v>0</v>
      </c>
      <c r="X42" s="113"/>
      <c r="Y42" s="67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  <c r="DM42" s="41"/>
      <c r="DN42" s="41"/>
      <c r="DO42" s="41"/>
      <c r="DP42" s="41"/>
      <c r="DQ42" s="41"/>
      <c r="DR42" s="41"/>
      <c r="DS42" s="41"/>
      <c r="DT42" s="41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4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1"/>
      <c r="GA42" s="41"/>
      <c r="GB42" s="41"/>
      <c r="GC42" s="41"/>
      <c r="GD42" s="41"/>
      <c r="GE42" s="41"/>
      <c r="GF42" s="41"/>
      <c r="GG42" s="41"/>
      <c r="GH42" s="41"/>
      <c r="GI42" s="41"/>
      <c r="GJ42" s="41"/>
      <c r="GK42" s="41"/>
      <c r="GL42" s="41"/>
      <c r="GM42" s="41"/>
      <c r="GN42" s="41"/>
    </row>
    <row r="43" spans="1:196" ht="19.2" x14ac:dyDescent="0.4">
      <c r="A43" s="57">
        <v>36</v>
      </c>
      <c r="B43" s="88">
        <f>사원명부!B43</f>
        <v>0</v>
      </c>
      <c r="C43" s="89">
        <f>사원명부!D43</f>
        <v>0</v>
      </c>
      <c r="D43" s="90" t="str">
        <f>IF(B43=0,"-",사원명부!E43)</f>
        <v>-</v>
      </c>
      <c r="E43" s="91" t="str">
        <f t="shared" si="0"/>
        <v>-</v>
      </c>
      <c r="F43" s="58"/>
      <c r="G43" s="59"/>
      <c r="H43" s="99">
        <f t="shared" si="1"/>
        <v>0</v>
      </c>
      <c r="I43" s="100">
        <f t="shared" si="2"/>
        <v>0</v>
      </c>
      <c r="J43" s="101">
        <f t="shared" si="3"/>
        <v>0</v>
      </c>
      <c r="K43" s="64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6"/>
      <c r="W43" s="109">
        <f t="shared" si="4"/>
        <v>0</v>
      </c>
      <c r="X43" s="113"/>
      <c r="Y43" s="67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  <c r="DR43" s="41"/>
      <c r="DS43" s="41"/>
      <c r="DT43" s="41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  <c r="EF43" s="41"/>
      <c r="EG43" s="41"/>
      <c r="EH43" s="41"/>
      <c r="EI43" s="41"/>
      <c r="EJ43" s="41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41"/>
      <c r="EV43" s="41"/>
      <c r="EW43" s="41"/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41"/>
      <c r="FK43" s="41"/>
      <c r="FL43" s="41"/>
      <c r="FM43" s="41"/>
      <c r="FN43" s="41"/>
      <c r="FO43" s="41"/>
      <c r="FP43" s="41"/>
      <c r="FQ43" s="41"/>
      <c r="FR43" s="41"/>
      <c r="FS43" s="41"/>
      <c r="FT43" s="41"/>
      <c r="FU43" s="41"/>
      <c r="FV43" s="41"/>
      <c r="FW43" s="41"/>
      <c r="FX43" s="41"/>
      <c r="FY43" s="41"/>
      <c r="FZ43" s="41"/>
      <c r="GA43" s="41"/>
      <c r="GB43" s="41"/>
      <c r="GC43" s="41"/>
      <c r="GD43" s="41"/>
      <c r="GE43" s="41"/>
      <c r="GF43" s="41"/>
      <c r="GG43" s="41"/>
      <c r="GH43" s="41"/>
      <c r="GI43" s="41"/>
      <c r="GJ43" s="41"/>
      <c r="GK43" s="41"/>
      <c r="GL43" s="41"/>
      <c r="GM43" s="41"/>
      <c r="GN43" s="41"/>
    </row>
    <row r="44" spans="1:196" ht="19.2" x14ac:dyDescent="0.4">
      <c r="A44" s="57">
        <v>37</v>
      </c>
      <c r="B44" s="88">
        <f>사원명부!B44</f>
        <v>0</v>
      </c>
      <c r="C44" s="89">
        <f>사원명부!D44</f>
        <v>0</v>
      </c>
      <c r="D44" s="90" t="str">
        <f>IF(B44=0,"-",사원명부!E44)</f>
        <v>-</v>
      </c>
      <c r="E44" s="91" t="str">
        <f t="shared" si="0"/>
        <v>-</v>
      </c>
      <c r="F44" s="58"/>
      <c r="G44" s="59"/>
      <c r="H44" s="99">
        <f t="shared" si="1"/>
        <v>0</v>
      </c>
      <c r="I44" s="100">
        <f t="shared" si="2"/>
        <v>0</v>
      </c>
      <c r="J44" s="101">
        <f t="shared" si="3"/>
        <v>0</v>
      </c>
      <c r="K44" s="64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6"/>
      <c r="W44" s="109">
        <f t="shared" si="4"/>
        <v>0</v>
      </c>
      <c r="X44" s="113"/>
      <c r="Y44" s="67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  <c r="CZ44" s="41"/>
      <c r="DA44" s="41"/>
      <c r="DB44" s="41"/>
      <c r="DC44" s="41"/>
      <c r="DD44" s="41"/>
      <c r="DE44" s="41"/>
      <c r="DF44" s="41"/>
      <c r="DG44" s="41"/>
      <c r="DH44" s="41"/>
      <c r="DI44" s="41"/>
      <c r="DJ44" s="41"/>
      <c r="DK44" s="41"/>
      <c r="DL44" s="41"/>
      <c r="DM44" s="41"/>
      <c r="DN44" s="41"/>
      <c r="DO44" s="41"/>
      <c r="DP44" s="41"/>
      <c r="DQ44" s="41"/>
      <c r="DR44" s="41"/>
      <c r="DS44" s="41"/>
      <c r="DT44" s="41"/>
      <c r="DU44" s="41"/>
      <c r="DV44" s="41"/>
      <c r="DW44" s="41"/>
      <c r="DX44" s="41"/>
      <c r="DY44" s="41"/>
      <c r="DZ44" s="41"/>
      <c r="EA44" s="41"/>
      <c r="EB44" s="41"/>
      <c r="EC44" s="41"/>
      <c r="ED44" s="41"/>
      <c r="EE44" s="41"/>
      <c r="EF44" s="41"/>
      <c r="EG44" s="41"/>
      <c r="EH44" s="41"/>
      <c r="EI44" s="41"/>
      <c r="EJ44" s="41"/>
      <c r="EK44" s="41"/>
      <c r="EL44" s="41"/>
      <c r="EM44" s="41"/>
      <c r="EN44" s="41"/>
      <c r="EO44" s="41"/>
      <c r="EP44" s="41"/>
      <c r="EQ44" s="41"/>
      <c r="ER44" s="41"/>
      <c r="ES44" s="41"/>
      <c r="ET44" s="41"/>
      <c r="EU44" s="41"/>
      <c r="EV44" s="41"/>
      <c r="EW44" s="41"/>
      <c r="EX44" s="41"/>
      <c r="EY44" s="41"/>
      <c r="EZ44" s="41"/>
      <c r="FA44" s="41"/>
      <c r="FB44" s="41"/>
      <c r="FC44" s="41"/>
      <c r="FD44" s="41"/>
      <c r="FE44" s="41"/>
      <c r="FF44" s="41"/>
      <c r="FG44" s="41"/>
      <c r="FH44" s="41"/>
      <c r="FI44" s="41"/>
      <c r="FJ44" s="41"/>
      <c r="FK44" s="41"/>
      <c r="FL44" s="41"/>
      <c r="FM44" s="41"/>
      <c r="FN44" s="41"/>
      <c r="FO44" s="41"/>
      <c r="FP44" s="41"/>
      <c r="FQ44" s="41"/>
      <c r="FR44" s="41"/>
      <c r="FS44" s="41"/>
      <c r="FT44" s="41"/>
      <c r="FU44" s="41"/>
      <c r="FV44" s="41"/>
      <c r="FW44" s="41"/>
      <c r="FX44" s="41"/>
      <c r="FY44" s="41"/>
      <c r="FZ44" s="41"/>
      <c r="GA44" s="41"/>
      <c r="GB44" s="41"/>
      <c r="GC44" s="41"/>
      <c r="GD44" s="41"/>
      <c r="GE44" s="41"/>
      <c r="GF44" s="41"/>
      <c r="GG44" s="41"/>
      <c r="GH44" s="41"/>
      <c r="GI44" s="41"/>
      <c r="GJ44" s="41"/>
      <c r="GK44" s="41"/>
      <c r="GL44" s="41"/>
      <c r="GM44" s="41"/>
      <c r="GN44" s="41"/>
    </row>
    <row r="45" spans="1:196" ht="19.2" x14ac:dyDescent="0.4">
      <c r="A45" s="57">
        <v>38</v>
      </c>
      <c r="B45" s="88">
        <f>사원명부!B45</f>
        <v>0</v>
      </c>
      <c r="C45" s="89">
        <f>사원명부!D45</f>
        <v>0</v>
      </c>
      <c r="D45" s="90" t="str">
        <f>IF(B45=0,"-",사원명부!E45)</f>
        <v>-</v>
      </c>
      <c r="E45" s="91" t="str">
        <f t="shared" si="0"/>
        <v>-</v>
      </c>
      <c r="F45" s="58"/>
      <c r="G45" s="59"/>
      <c r="H45" s="99">
        <f t="shared" si="1"/>
        <v>0</v>
      </c>
      <c r="I45" s="100">
        <f t="shared" si="2"/>
        <v>0</v>
      </c>
      <c r="J45" s="101">
        <f t="shared" si="3"/>
        <v>0</v>
      </c>
      <c r="K45" s="64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6"/>
      <c r="W45" s="109">
        <f t="shared" si="4"/>
        <v>0</v>
      </c>
      <c r="X45" s="113"/>
      <c r="Y45" s="67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/>
      <c r="CU45" s="41"/>
      <c r="CV45" s="41"/>
      <c r="CW45" s="41"/>
      <c r="CX45" s="41"/>
      <c r="CY45" s="41"/>
      <c r="CZ45" s="41"/>
      <c r="DA45" s="41"/>
      <c r="DB45" s="41"/>
      <c r="DC45" s="41"/>
      <c r="DD45" s="41"/>
      <c r="DE45" s="41"/>
      <c r="DF45" s="41"/>
      <c r="DG45" s="41"/>
      <c r="DH45" s="41"/>
      <c r="DI45" s="41"/>
      <c r="DJ45" s="41"/>
      <c r="DK45" s="41"/>
      <c r="DL45" s="41"/>
      <c r="DM45" s="41"/>
      <c r="DN45" s="41"/>
      <c r="DO45" s="41"/>
      <c r="DP45" s="41"/>
      <c r="DQ45" s="41"/>
      <c r="DR45" s="41"/>
      <c r="DS45" s="41"/>
      <c r="DT45" s="41"/>
      <c r="DU45" s="41"/>
      <c r="DV45" s="41"/>
      <c r="DW45" s="41"/>
      <c r="DX45" s="41"/>
      <c r="DY45" s="41"/>
      <c r="DZ45" s="41"/>
      <c r="EA45" s="41"/>
      <c r="EB45" s="41"/>
      <c r="EC45" s="41"/>
      <c r="ED45" s="41"/>
      <c r="EE45" s="41"/>
      <c r="EF45" s="41"/>
      <c r="EG45" s="41"/>
      <c r="EH45" s="41"/>
      <c r="EI45" s="41"/>
      <c r="EJ45" s="41"/>
      <c r="EK45" s="41"/>
      <c r="EL45" s="41"/>
      <c r="EM45" s="41"/>
      <c r="EN45" s="41"/>
      <c r="EO45" s="41"/>
      <c r="EP45" s="41"/>
      <c r="EQ45" s="41"/>
      <c r="ER45" s="41"/>
      <c r="ES45" s="41"/>
      <c r="ET45" s="41"/>
      <c r="EU45" s="41"/>
      <c r="EV45" s="41"/>
      <c r="EW45" s="41"/>
      <c r="EX45" s="41"/>
      <c r="EY45" s="41"/>
      <c r="EZ45" s="41"/>
      <c r="FA45" s="41"/>
      <c r="FB45" s="41"/>
      <c r="FC45" s="41"/>
      <c r="FD45" s="41"/>
      <c r="FE45" s="41"/>
      <c r="FF45" s="41"/>
      <c r="FG45" s="41"/>
      <c r="FH45" s="41"/>
      <c r="FI45" s="41"/>
      <c r="FJ45" s="41"/>
      <c r="FK45" s="41"/>
      <c r="FL45" s="41"/>
      <c r="FM45" s="41"/>
      <c r="FN45" s="41"/>
      <c r="FO45" s="41"/>
      <c r="FP45" s="41"/>
      <c r="FQ45" s="41"/>
      <c r="FR45" s="41"/>
      <c r="FS45" s="41"/>
      <c r="FT45" s="41"/>
      <c r="FU45" s="41"/>
      <c r="FV45" s="41"/>
      <c r="FW45" s="41"/>
      <c r="FX45" s="41"/>
      <c r="FY45" s="41"/>
      <c r="FZ45" s="41"/>
      <c r="GA45" s="41"/>
      <c r="GB45" s="41"/>
      <c r="GC45" s="41"/>
      <c r="GD45" s="41"/>
      <c r="GE45" s="41"/>
      <c r="GF45" s="41"/>
      <c r="GG45" s="41"/>
      <c r="GH45" s="41"/>
      <c r="GI45" s="41"/>
      <c r="GJ45" s="41"/>
      <c r="GK45" s="41"/>
      <c r="GL45" s="41"/>
      <c r="GM45" s="41"/>
      <c r="GN45" s="41"/>
    </row>
    <row r="46" spans="1:196" ht="19.2" x14ac:dyDescent="0.4">
      <c r="A46" s="57">
        <v>39</v>
      </c>
      <c r="B46" s="88">
        <f>사원명부!B46</f>
        <v>0</v>
      </c>
      <c r="C46" s="89">
        <f>사원명부!D46</f>
        <v>0</v>
      </c>
      <c r="D46" s="90" t="str">
        <f>IF(B46=0,"-",사원명부!E46)</f>
        <v>-</v>
      </c>
      <c r="E46" s="91" t="str">
        <f t="shared" si="0"/>
        <v>-</v>
      </c>
      <c r="F46" s="58"/>
      <c r="G46" s="59"/>
      <c r="H46" s="99">
        <f t="shared" si="1"/>
        <v>0</v>
      </c>
      <c r="I46" s="100">
        <f t="shared" si="2"/>
        <v>0</v>
      </c>
      <c r="J46" s="101">
        <f t="shared" si="3"/>
        <v>0</v>
      </c>
      <c r="K46" s="64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6"/>
      <c r="W46" s="109">
        <f t="shared" si="4"/>
        <v>0</v>
      </c>
      <c r="X46" s="113"/>
      <c r="Y46" s="67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/>
      <c r="CO46" s="41"/>
      <c r="CP46" s="41"/>
      <c r="CQ46" s="41"/>
      <c r="CR46" s="41"/>
      <c r="CS46" s="41"/>
      <c r="CT46" s="41"/>
      <c r="CU46" s="41"/>
      <c r="CV46" s="41"/>
      <c r="CW46" s="41"/>
      <c r="CX46" s="41"/>
      <c r="CY46" s="41"/>
      <c r="CZ46" s="41"/>
      <c r="DA46" s="41"/>
      <c r="DB46" s="41"/>
      <c r="DC46" s="41"/>
      <c r="DD46" s="41"/>
      <c r="DE46" s="41"/>
      <c r="DF46" s="41"/>
      <c r="DG46" s="41"/>
      <c r="DH46" s="41"/>
      <c r="DI46" s="41"/>
      <c r="DJ46" s="41"/>
      <c r="DK46" s="41"/>
      <c r="DL46" s="41"/>
      <c r="DM46" s="41"/>
      <c r="DN46" s="41"/>
      <c r="DO46" s="41"/>
      <c r="DP46" s="41"/>
      <c r="DQ46" s="41"/>
      <c r="DR46" s="41"/>
      <c r="DS46" s="41"/>
      <c r="DT46" s="41"/>
      <c r="DU46" s="41"/>
      <c r="DV46" s="41"/>
      <c r="DW46" s="41"/>
      <c r="DX46" s="41"/>
      <c r="DY46" s="41"/>
      <c r="DZ46" s="41"/>
      <c r="EA46" s="41"/>
      <c r="EB46" s="41"/>
      <c r="EC46" s="41"/>
      <c r="ED46" s="41"/>
      <c r="EE46" s="41"/>
      <c r="EF46" s="41"/>
      <c r="EG46" s="41"/>
      <c r="EH46" s="41"/>
      <c r="EI46" s="41"/>
      <c r="EJ46" s="41"/>
      <c r="EK46" s="41"/>
      <c r="EL46" s="41"/>
      <c r="EM46" s="41"/>
      <c r="EN46" s="41"/>
      <c r="EO46" s="41"/>
      <c r="EP46" s="41"/>
      <c r="EQ46" s="41"/>
      <c r="ER46" s="41"/>
      <c r="ES46" s="41"/>
      <c r="ET46" s="41"/>
      <c r="EU46" s="41"/>
      <c r="EV46" s="41"/>
      <c r="EW46" s="41"/>
      <c r="EX46" s="41"/>
      <c r="EY46" s="41"/>
      <c r="EZ46" s="41"/>
      <c r="FA46" s="41"/>
      <c r="FB46" s="41"/>
      <c r="FC46" s="41"/>
      <c r="FD46" s="41"/>
      <c r="FE46" s="41"/>
      <c r="FF46" s="41"/>
      <c r="FG46" s="41"/>
      <c r="FH46" s="41"/>
      <c r="FI46" s="41"/>
      <c r="FJ46" s="41"/>
      <c r="FK46" s="41"/>
      <c r="FL46" s="41"/>
      <c r="FM46" s="41"/>
      <c r="FN46" s="41"/>
      <c r="FO46" s="41"/>
      <c r="FP46" s="41"/>
      <c r="FQ46" s="41"/>
      <c r="FR46" s="41"/>
      <c r="FS46" s="41"/>
      <c r="FT46" s="41"/>
      <c r="FU46" s="41"/>
      <c r="FV46" s="41"/>
      <c r="FW46" s="41"/>
      <c r="FX46" s="41"/>
      <c r="FY46" s="41"/>
      <c r="FZ46" s="41"/>
      <c r="GA46" s="41"/>
      <c r="GB46" s="41"/>
      <c r="GC46" s="41"/>
      <c r="GD46" s="41"/>
      <c r="GE46" s="41"/>
      <c r="GF46" s="41"/>
      <c r="GG46" s="41"/>
      <c r="GH46" s="41"/>
      <c r="GI46" s="41"/>
      <c r="GJ46" s="41"/>
      <c r="GK46" s="41"/>
      <c r="GL46" s="41"/>
      <c r="GM46" s="41"/>
      <c r="GN46" s="41"/>
    </row>
    <row r="47" spans="1:196" ht="19.2" x14ac:dyDescent="0.4">
      <c r="A47" s="57">
        <v>40</v>
      </c>
      <c r="B47" s="88">
        <f>사원명부!B47</f>
        <v>0</v>
      </c>
      <c r="C47" s="89">
        <f>사원명부!D47</f>
        <v>0</v>
      </c>
      <c r="D47" s="90" t="str">
        <f>IF(B47=0,"-",사원명부!E47)</f>
        <v>-</v>
      </c>
      <c r="E47" s="91" t="str">
        <f t="shared" si="0"/>
        <v>-</v>
      </c>
      <c r="F47" s="58"/>
      <c r="G47" s="59"/>
      <c r="H47" s="99">
        <f t="shared" si="1"/>
        <v>0</v>
      </c>
      <c r="I47" s="100">
        <f t="shared" si="2"/>
        <v>0</v>
      </c>
      <c r="J47" s="101">
        <f t="shared" si="3"/>
        <v>0</v>
      </c>
      <c r="K47" s="64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6"/>
      <c r="W47" s="109">
        <f t="shared" si="4"/>
        <v>0</v>
      </c>
      <c r="X47" s="113"/>
      <c r="Y47" s="67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1"/>
      <c r="CK47" s="41"/>
      <c r="CL47" s="41"/>
      <c r="CM47" s="41"/>
      <c r="CN47" s="41"/>
      <c r="CO47" s="41"/>
      <c r="CP47" s="41"/>
      <c r="CQ47" s="41"/>
      <c r="CR47" s="41"/>
      <c r="CS47" s="41"/>
      <c r="CT47" s="41"/>
      <c r="CU47" s="41"/>
      <c r="CV47" s="41"/>
      <c r="CW47" s="41"/>
      <c r="CX47" s="41"/>
      <c r="CY47" s="41"/>
      <c r="CZ47" s="41"/>
      <c r="DA47" s="41"/>
      <c r="DB47" s="41"/>
      <c r="DC47" s="41"/>
      <c r="DD47" s="41"/>
      <c r="DE47" s="41"/>
      <c r="DF47" s="41"/>
      <c r="DG47" s="41"/>
      <c r="DH47" s="41"/>
      <c r="DI47" s="41"/>
      <c r="DJ47" s="41"/>
      <c r="DK47" s="41"/>
      <c r="DL47" s="41"/>
      <c r="DM47" s="41"/>
      <c r="DN47" s="41"/>
      <c r="DO47" s="41"/>
      <c r="DP47" s="41"/>
      <c r="DQ47" s="41"/>
      <c r="DR47" s="41"/>
      <c r="DS47" s="41"/>
      <c r="DT47" s="41"/>
      <c r="DU47" s="41"/>
      <c r="DV47" s="41"/>
      <c r="DW47" s="41"/>
      <c r="DX47" s="41"/>
      <c r="DY47" s="41"/>
      <c r="DZ47" s="41"/>
      <c r="EA47" s="41"/>
      <c r="EB47" s="41"/>
      <c r="EC47" s="41"/>
      <c r="ED47" s="41"/>
      <c r="EE47" s="41"/>
      <c r="EF47" s="41"/>
      <c r="EG47" s="41"/>
      <c r="EH47" s="41"/>
      <c r="EI47" s="41"/>
      <c r="EJ47" s="41"/>
      <c r="EK47" s="41"/>
      <c r="EL47" s="41"/>
      <c r="EM47" s="41"/>
      <c r="EN47" s="41"/>
      <c r="EO47" s="41"/>
      <c r="EP47" s="41"/>
      <c r="EQ47" s="41"/>
      <c r="ER47" s="41"/>
      <c r="ES47" s="41"/>
      <c r="ET47" s="41"/>
      <c r="EU47" s="41"/>
      <c r="EV47" s="41"/>
      <c r="EW47" s="41"/>
      <c r="EX47" s="41"/>
      <c r="EY47" s="41"/>
      <c r="EZ47" s="41"/>
      <c r="FA47" s="41"/>
      <c r="FB47" s="41"/>
      <c r="FC47" s="41"/>
      <c r="FD47" s="41"/>
      <c r="FE47" s="41"/>
      <c r="FF47" s="41"/>
      <c r="FG47" s="41"/>
      <c r="FH47" s="41"/>
      <c r="FI47" s="41"/>
      <c r="FJ47" s="41"/>
      <c r="FK47" s="41"/>
      <c r="FL47" s="41"/>
      <c r="FM47" s="41"/>
      <c r="FN47" s="41"/>
      <c r="FO47" s="41"/>
      <c r="FP47" s="41"/>
      <c r="FQ47" s="41"/>
      <c r="FR47" s="41"/>
      <c r="FS47" s="41"/>
      <c r="FT47" s="41"/>
      <c r="FU47" s="41"/>
      <c r="FV47" s="41"/>
      <c r="FW47" s="41"/>
      <c r="FX47" s="41"/>
      <c r="FY47" s="41"/>
      <c r="FZ47" s="41"/>
      <c r="GA47" s="41"/>
      <c r="GB47" s="41"/>
      <c r="GC47" s="41"/>
      <c r="GD47" s="41"/>
      <c r="GE47" s="41"/>
      <c r="GF47" s="41"/>
      <c r="GG47" s="41"/>
      <c r="GH47" s="41"/>
      <c r="GI47" s="41"/>
      <c r="GJ47" s="41"/>
      <c r="GK47" s="41"/>
      <c r="GL47" s="41"/>
      <c r="GM47" s="41"/>
      <c r="GN47" s="41"/>
    </row>
    <row r="48" spans="1:196" ht="19.2" x14ac:dyDescent="0.4">
      <c r="A48" s="57">
        <v>41</v>
      </c>
      <c r="B48" s="88">
        <f>사원명부!B48</f>
        <v>0</v>
      </c>
      <c r="C48" s="89">
        <f>사원명부!D48</f>
        <v>0</v>
      </c>
      <c r="D48" s="90" t="str">
        <f>IF(B48=0,"-",사원명부!E48)</f>
        <v>-</v>
      </c>
      <c r="E48" s="91" t="str">
        <f t="shared" si="0"/>
        <v>-</v>
      </c>
      <c r="F48" s="68"/>
      <c r="G48" s="69"/>
      <c r="H48" s="102">
        <f t="shared" si="1"/>
        <v>0</v>
      </c>
      <c r="I48" s="103">
        <f t="shared" si="2"/>
        <v>0</v>
      </c>
      <c r="J48" s="104">
        <f t="shared" si="3"/>
        <v>0</v>
      </c>
      <c r="K48" s="70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2"/>
      <c r="W48" s="110">
        <f t="shared" si="4"/>
        <v>0</v>
      </c>
      <c r="X48" s="114"/>
      <c r="Y48" s="73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  <c r="CV48" s="41"/>
      <c r="CW48" s="41"/>
      <c r="CX48" s="41"/>
      <c r="CY48" s="41"/>
      <c r="CZ48" s="41"/>
      <c r="DA48" s="41"/>
      <c r="DB48" s="41"/>
      <c r="DC48" s="41"/>
      <c r="DD48" s="41"/>
      <c r="DE48" s="41"/>
      <c r="DF48" s="41"/>
      <c r="DG48" s="41"/>
      <c r="DH48" s="41"/>
      <c r="DI48" s="41"/>
      <c r="DJ48" s="41"/>
      <c r="DK48" s="41"/>
      <c r="DL48" s="41"/>
      <c r="DM48" s="41"/>
      <c r="DN48" s="41"/>
      <c r="DO48" s="41"/>
      <c r="DP48" s="41"/>
      <c r="DQ48" s="41"/>
      <c r="DR48" s="41"/>
      <c r="DS48" s="41"/>
      <c r="DT48" s="41"/>
      <c r="DU48" s="41"/>
      <c r="DV48" s="41"/>
      <c r="DW48" s="41"/>
      <c r="DX48" s="41"/>
      <c r="DY48" s="41"/>
      <c r="DZ48" s="41"/>
      <c r="EA48" s="41"/>
      <c r="EB48" s="41"/>
      <c r="EC48" s="41"/>
      <c r="ED48" s="41"/>
      <c r="EE48" s="41"/>
      <c r="EF48" s="41"/>
      <c r="EG48" s="41"/>
      <c r="EH48" s="41"/>
      <c r="EI48" s="41"/>
      <c r="EJ48" s="41"/>
      <c r="EK48" s="41"/>
      <c r="EL48" s="41"/>
      <c r="EM48" s="41"/>
      <c r="EN48" s="41"/>
      <c r="EO48" s="41"/>
      <c r="EP48" s="41"/>
      <c r="EQ48" s="41"/>
      <c r="ER48" s="41"/>
      <c r="ES48" s="41"/>
      <c r="ET48" s="41"/>
      <c r="EU48" s="41"/>
      <c r="EV48" s="41"/>
      <c r="EW48" s="41"/>
      <c r="EX48" s="41"/>
      <c r="EY48" s="41"/>
      <c r="EZ48" s="41"/>
      <c r="FA48" s="41"/>
      <c r="FB48" s="41"/>
      <c r="FC48" s="41"/>
      <c r="FD48" s="41"/>
      <c r="FE48" s="41"/>
      <c r="FF48" s="41"/>
      <c r="FG48" s="41"/>
      <c r="FH48" s="41"/>
      <c r="FI48" s="41"/>
      <c r="FJ48" s="41"/>
      <c r="FK48" s="41"/>
      <c r="FL48" s="41"/>
      <c r="FM48" s="41"/>
      <c r="FN48" s="41"/>
      <c r="FO48" s="41"/>
      <c r="FP48" s="41"/>
      <c r="FQ48" s="41"/>
      <c r="FR48" s="41"/>
      <c r="FS48" s="41"/>
      <c r="FT48" s="41"/>
      <c r="FU48" s="41"/>
      <c r="FV48" s="41"/>
      <c r="FW48" s="41"/>
      <c r="FX48" s="41"/>
      <c r="FY48" s="41"/>
      <c r="FZ48" s="41"/>
      <c r="GA48" s="41"/>
      <c r="GB48" s="41"/>
      <c r="GC48" s="41"/>
      <c r="GD48" s="41"/>
      <c r="GE48" s="41"/>
      <c r="GF48" s="41"/>
      <c r="GG48" s="41"/>
      <c r="GH48" s="41"/>
      <c r="GI48" s="41"/>
      <c r="GJ48" s="41"/>
      <c r="GK48" s="41"/>
      <c r="GL48" s="41"/>
      <c r="GM48" s="41"/>
      <c r="GN48" s="41"/>
    </row>
    <row r="49" spans="1:196" ht="19.2" x14ac:dyDescent="0.4">
      <c r="A49" s="57">
        <v>42</v>
      </c>
      <c r="B49" s="88">
        <f>사원명부!B49</f>
        <v>0</v>
      </c>
      <c r="C49" s="89">
        <f>사원명부!D49</f>
        <v>0</v>
      </c>
      <c r="D49" s="90" t="str">
        <f>IF(B49=0,"-",사원명부!E49)</f>
        <v>-</v>
      </c>
      <c r="E49" s="91" t="str">
        <f t="shared" si="0"/>
        <v>-</v>
      </c>
      <c r="F49" s="68"/>
      <c r="G49" s="69"/>
      <c r="H49" s="102">
        <f t="shared" si="1"/>
        <v>0</v>
      </c>
      <c r="I49" s="103">
        <f t="shared" si="2"/>
        <v>0</v>
      </c>
      <c r="J49" s="104">
        <f t="shared" si="3"/>
        <v>0</v>
      </c>
      <c r="K49" s="70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2"/>
      <c r="W49" s="110">
        <f t="shared" si="4"/>
        <v>0</v>
      </c>
      <c r="X49" s="114"/>
      <c r="Y49" s="73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  <c r="CH49" s="41"/>
      <c r="CI49" s="41"/>
      <c r="CJ49" s="41"/>
      <c r="CK49" s="41"/>
      <c r="CL49" s="41"/>
      <c r="CM49" s="41"/>
      <c r="CN49" s="41"/>
      <c r="CO49" s="41"/>
      <c r="CP49" s="41"/>
      <c r="CQ49" s="41"/>
      <c r="CR49" s="41"/>
      <c r="CS49" s="41"/>
      <c r="CT49" s="41"/>
      <c r="CU49" s="41"/>
      <c r="CV49" s="41"/>
      <c r="CW49" s="41"/>
      <c r="CX49" s="41"/>
      <c r="CY49" s="41"/>
      <c r="CZ49" s="41"/>
      <c r="DA49" s="41"/>
      <c r="DB49" s="41"/>
      <c r="DC49" s="41"/>
      <c r="DD49" s="41"/>
      <c r="DE49" s="41"/>
      <c r="DF49" s="41"/>
      <c r="DG49" s="41"/>
      <c r="DH49" s="41"/>
      <c r="DI49" s="41"/>
      <c r="DJ49" s="41"/>
      <c r="DK49" s="41"/>
      <c r="DL49" s="41"/>
      <c r="DM49" s="41"/>
      <c r="DN49" s="41"/>
      <c r="DO49" s="41"/>
      <c r="DP49" s="41"/>
      <c r="DQ49" s="41"/>
      <c r="DR49" s="41"/>
      <c r="DS49" s="41"/>
      <c r="DT49" s="41"/>
      <c r="DU49" s="41"/>
      <c r="DV49" s="41"/>
      <c r="DW49" s="41"/>
      <c r="DX49" s="41"/>
      <c r="DY49" s="41"/>
      <c r="DZ49" s="41"/>
      <c r="EA49" s="41"/>
      <c r="EB49" s="41"/>
      <c r="EC49" s="41"/>
      <c r="ED49" s="41"/>
      <c r="EE49" s="41"/>
      <c r="EF49" s="41"/>
      <c r="EG49" s="41"/>
      <c r="EH49" s="41"/>
      <c r="EI49" s="41"/>
      <c r="EJ49" s="41"/>
      <c r="EK49" s="41"/>
      <c r="EL49" s="41"/>
      <c r="EM49" s="41"/>
      <c r="EN49" s="41"/>
      <c r="EO49" s="41"/>
      <c r="EP49" s="41"/>
      <c r="EQ49" s="41"/>
      <c r="ER49" s="41"/>
      <c r="ES49" s="41"/>
      <c r="ET49" s="41"/>
      <c r="EU49" s="41"/>
      <c r="EV49" s="41"/>
      <c r="EW49" s="41"/>
      <c r="EX49" s="41"/>
      <c r="EY49" s="41"/>
      <c r="EZ49" s="41"/>
      <c r="FA49" s="41"/>
      <c r="FB49" s="41"/>
      <c r="FC49" s="41"/>
      <c r="FD49" s="41"/>
      <c r="FE49" s="41"/>
      <c r="FF49" s="41"/>
      <c r="FG49" s="41"/>
      <c r="FH49" s="41"/>
      <c r="FI49" s="41"/>
      <c r="FJ49" s="41"/>
      <c r="FK49" s="41"/>
      <c r="FL49" s="41"/>
      <c r="FM49" s="41"/>
      <c r="FN49" s="41"/>
      <c r="FO49" s="41"/>
      <c r="FP49" s="41"/>
      <c r="FQ49" s="41"/>
      <c r="FR49" s="41"/>
      <c r="FS49" s="41"/>
      <c r="FT49" s="41"/>
      <c r="FU49" s="41"/>
      <c r="FV49" s="41"/>
      <c r="FW49" s="41"/>
      <c r="FX49" s="41"/>
      <c r="FY49" s="41"/>
      <c r="FZ49" s="41"/>
      <c r="GA49" s="41"/>
      <c r="GB49" s="41"/>
      <c r="GC49" s="41"/>
      <c r="GD49" s="41"/>
      <c r="GE49" s="41"/>
      <c r="GF49" s="41"/>
      <c r="GG49" s="41"/>
      <c r="GH49" s="41"/>
      <c r="GI49" s="41"/>
      <c r="GJ49" s="41"/>
      <c r="GK49" s="41"/>
      <c r="GL49" s="41"/>
      <c r="GM49" s="41"/>
      <c r="GN49" s="41"/>
    </row>
    <row r="50" spans="1:196" ht="19.2" x14ac:dyDescent="0.4">
      <c r="A50" s="57">
        <v>43</v>
      </c>
      <c r="B50" s="88">
        <f>사원명부!B50</f>
        <v>0</v>
      </c>
      <c r="C50" s="89">
        <f>사원명부!D50</f>
        <v>0</v>
      </c>
      <c r="D50" s="90" t="str">
        <f>IF(B50=0,"-",사원명부!E50)</f>
        <v>-</v>
      </c>
      <c r="E50" s="91" t="str">
        <f t="shared" si="0"/>
        <v>-</v>
      </c>
      <c r="F50" s="68"/>
      <c r="G50" s="69"/>
      <c r="H50" s="102">
        <f t="shared" si="1"/>
        <v>0</v>
      </c>
      <c r="I50" s="103">
        <f t="shared" si="2"/>
        <v>0</v>
      </c>
      <c r="J50" s="104">
        <f t="shared" si="3"/>
        <v>0</v>
      </c>
      <c r="K50" s="70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2"/>
      <c r="W50" s="110">
        <f t="shared" si="4"/>
        <v>0</v>
      </c>
      <c r="X50" s="114"/>
      <c r="Y50" s="73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41"/>
      <c r="CU50" s="41"/>
      <c r="CV50" s="41"/>
      <c r="CW50" s="41"/>
      <c r="CX50" s="41"/>
      <c r="CY50" s="41"/>
      <c r="CZ50" s="41"/>
      <c r="DA50" s="41"/>
      <c r="DB50" s="41"/>
      <c r="DC50" s="41"/>
      <c r="DD50" s="41"/>
      <c r="DE50" s="41"/>
      <c r="DF50" s="41"/>
      <c r="DG50" s="41"/>
      <c r="DH50" s="41"/>
      <c r="DI50" s="41"/>
      <c r="DJ50" s="41"/>
      <c r="DK50" s="41"/>
      <c r="DL50" s="41"/>
      <c r="DM50" s="41"/>
      <c r="DN50" s="41"/>
      <c r="DO50" s="41"/>
      <c r="DP50" s="41"/>
      <c r="DQ50" s="41"/>
      <c r="DR50" s="41"/>
      <c r="DS50" s="41"/>
      <c r="DT50" s="41"/>
      <c r="DU50" s="41"/>
      <c r="DV50" s="41"/>
      <c r="DW50" s="41"/>
      <c r="DX50" s="41"/>
      <c r="DY50" s="41"/>
      <c r="DZ50" s="41"/>
      <c r="EA50" s="41"/>
      <c r="EB50" s="41"/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41"/>
      <c r="EQ50" s="41"/>
      <c r="ER50" s="41"/>
      <c r="ES50" s="41"/>
      <c r="ET50" s="41"/>
      <c r="EU50" s="41"/>
      <c r="EV50" s="41"/>
      <c r="EW50" s="41"/>
      <c r="EX50" s="41"/>
      <c r="EY50" s="41"/>
      <c r="EZ50" s="41"/>
      <c r="FA50" s="41"/>
      <c r="FB50" s="41"/>
      <c r="FC50" s="41"/>
      <c r="FD50" s="41"/>
      <c r="FE50" s="41"/>
      <c r="FF50" s="41"/>
      <c r="FG50" s="41"/>
      <c r="FH50" s="41"/>
      <c r="FI50" s="41"/>
      <c r="FJ50" s="41"/>
      <c r="FK50" s="41"/>
      <c r="FL50" s="41"/>
      <c r="FM50" s="41"/>
      <c r="FN50" s="41"/>
      <c r="FO50" s="41"/>
      <c r="FP50" s="41"/>
      <c r="FQ50" s="41"/>
      <c r="FR50" s="41"/>
      <c r="FS50" s="41"/>
      <c r="FT50" s="41"/>
      <c r="FU50" s="41"/>
      <c r="FV50" s="41"/>
      <c r="FW50" s="41"/>
      <c r="FX50" s="41"/>
      <c r="FY50" s="41"/>
      <c r="FZ50" s="41"/>
      <c r="GA50" s="41"/>
      <c r="GB50" s="41"/>
      <c r="GC50" s="41"/>
      <c r="GD50" s="41"/>
      <c r="GE50" s="41"/>
      <c r="GF50" s="41"/>
      <c r="GG50" s="41"/>
      <c r="GH50" s="41"/>
      <c r="GI50" s="41"/>
      <c r="GJ50" s="41"/>
      <c r="GK50" s="41"/>
      <c r="GL50" s="41"/>
      <c r="GM50" s="41"/>
      <c r="GN50" s="41"/>
    </row>
    <row r="51" spans="1:196" ht="19.2" x14ac:dyDescent="0.4">
      <c r="A51" s="57">
        <v>44</v>
      </c>
      <c r="B51" s="88">
        <f>사원명부!B51</f>
        <v>0</v>
      </c>
      <c r="C51" s="89">
        <f>사원명부!D51</f>
        <v>0</v>
      </c>
      <c r="D51" s="90" t="str">
        <f>IF(B51=0,"-",사원명부!E51)</f>
        <v>-</v>
      </c>
      <c r="E51" s="91" t="str">
        <f t="shared" si="0"/>
        <v>-</v>
      </c>
      <c r="F51" s="68"/>
      <c r="G51" s="69"/>
      <c r="H51" s="102">
        <f t="shared" si="1"/>
        <v>0</v>
      </c>
      <c r="I51" s="103">
        <f t="shared" si="2"/>
        <v>0</v>
      </c>
      <c r="J51" s="104">
        <f t="shared" si="3"/>
        <v>0</v>
      </c>
      <c r="K51" s="70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2"/>
      <c r="W51" s="110">
        <f t="shared" si="4"/>
        <v>0</v>
      </c>
      <c r="X51" s="114"/>
      <c r="Y51" s="73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  <c r="CL51" s="41"/>
      <c r="CM51" s="41"/>
      <c r="CN51" s="41"/>
      <c r="CO51" s="41"/>
      <c r="CP51" s="41"/>
      <c r="CQ51" s="41"/>
      <c r="CR51" s="41"/>
      <c r="CS51" s="41"/>
      <c r="CT51" s="41"/>
      <c r="CU51" s="41"/>
      <c r="CV51" s="41"/>
      <c r="CW51" s="41"/>
      <c r="CX51" s="41"/>
      <c r="CY51" s="41"/>
      <c r="CZ51" s="41"/>
      <c r="DA51" s="41"/>
      <c r="DB51" s="41"/>
      <c r="DC51" s="41"/>
      <c r="DD51" s="41"/>
      <c r="DE51" s="41"/>
      <c r="DF51" s="41"/>
      <c r="DG51" s="41"/>
      <c r="DH51" s="41"/>
      <c r="DI51" s="41"/>
      <c r="DJ51" s="41"/>
      <c r="DK51" s="41"/>
      <c r="DL51" s="41"/>
      <c r="DM51" s="41"/>
      <c r="DN51" s="41"/>
      <c r="DO51" s="41"/>
      <c r="DP51" s="41"/>
      <c r="DQ51" s="41"/>
      <c r="DR51" s="41"/>
      <c r="DS51" s="41"/>
      <c r="DT51" s="41"/>
      <c r="DU51" s="41"/>
      <c r="DV51" s="41"/>
      <c r="DW51" s="41"/>
      <c r="DX51" s="41"/>
      <c r="DY51" s="41"/>
      <c r="DZ51" s="41"/>
      <c r="EA51" s="41"/>
      <c r="EB51" s="41"/>
      <c r="EC51" s="41"/>
      <c r="ED51" s="41"/>
      <c r="EE51" s="41"/>
      <c r="EF51" s="41"/>
      <c r="EG51" s="41"/>
      <c r="EH51" s="41"/>
      <c r="EI51" s="41"/>
      <c r="EJ51" s="41"/>
      <c r="EK51" s="41"/>
      <c r="EL51" s="41"/>
      <c r="EM51" s="41"/>
      <c r="EN51" s="41"/>
      <c r="EO51" s="41"/>
      <c r="EP51" s="41"/>
      <c r="EQ51" s="41"/>
      <c r="ER51" s="41"/>
      <c r="ES51" s="41"/>
      <c r="ET51" s="41"/>
      <c r="EU51" s="41"/>
      <c r="EV51" s="41"/>
      <c r="EW51" s="41"/>
      <c r="EX51" s="41"/>
      <c r="EY51" s="41"/>
      <c r="EZ51" s="41"/>
      <c r="FA51" s="41"/>
      <c r="FB51" s="41"/>
      <c r="FC51" s="41"/>
      <c r="FD51" s="41"/>
      <c r="FE51" s="41"/>
      <c r="FF51" s="41"/>
      <c r="FG51" s="41"/>
      <c r="FH51" s="41"/>
      <c r="FI51" s="41"/>
      <c r="FJ51" s="41"/>
      <c r="FK51" s="41"/>
      <c r="FL51" s="41"/>
      <c r="FM51" s="41"/>
      <c r="FN51" s="41"/>
      <c r="FO51" s="41"/>
      <c r="FP51" s="41"/>
      <c r="FQ51" s="41"/>
      <c r="FR51" s="41"/>
      <c r="FS51" s="41"/>
      <c r="FT51" s="41"/>
      <c r="FU51" s="41"/>
      <c r="FV51" s="41"/>
      <c r="FW51" s="41"/>
      <c r="FX51" s="41"/>
      <c r="FY51" s="41"/>
      <c r="FZ51" s="41"/>
      <c r="GA51" s="41"/>
      <c r="GB51" s="41"/>
      <c r="GC51" s="41"/>
      <c r="GD51" s="41"/>
      <c r="GE51" s="41"/>
      <c r="GF51" s="41"/>
      <c r="GG51" s="41"/>
      <c r="GH51" s="41"/>
      <c r="GI51" s="41"/>
      <c r="GJ51" s="41"/>
      <c r="GK51" s="41"/>
      <c r="GL51" s="41"/>
      <c r="GM51" s="41"/>
      <c r="GN51" s="41"/>
    </row>
    <row r="52" spans="1:196" ht="19.2" x14ac:dyDescent="0.4">
      <c r="A52" s="57">
        <v>45</v>
      </c>
      <c r="B52" s="88">
        <f>사원명부!B52</f>
        <v>0</v>
      </c>
      <c r="C52" s="89">
        <f>사원명부!D52</f>
        <v>0</v>
      </c>
      <c r="D52" s="90" t="str">
        <f>IF(B52=0,"-",사원명부!E52)</f>
        <v>-</v>
      </c>
      <c r="E52" s="91" t="str">
        <f t="shared" si="0"/>
        <v>-</v>
      </c>
      <c r="F52" s="68"/>
      <c r="G52" s="69"/>
      <c r="H52" s="102">
        <f t="shared" si="1"/>
        <v>0</v>
      </c>
      <c r="I52" s="103">
        <f t="shared" si="2"/>
        <v>0</v>
      </c>
      <c r="J52" s="104">
        <f t="shared" si="3"/>
        <v>0</v>
      </c>
      <c r="K52" s="70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2"/>
      <c r="W52" s="110">
        <f t="shared" si="4"/>
        <v>0</v>
      </c>
      <c r="X52" s="114"/>
      <c r="Y52" s="73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  <c r="DM52" s="41"/>
      <c r="DN52" s="41"/>
      <c r="DO52" s="41"/>
      <c r="DP52" s="41"/>
      <c r="DQ52" s="41"/>
      <c r="DR52" s="41"/>
      <c r="DS52" s="41"/>
      <c r="DT52" s="41"/>
      <c r="DU52" s="41"/>
      <c r="DV52" s="41"/>
      <c r="DW52" s="41"/>
      <c r="DX52" s="41"/>
      <c r="DY52" s="41"/>
      <c r="DZ52" s="41"/>
      <c r="EA52" s="41"/>
      <c r="EB52" s="41"/>
      <c r="EC52" s="41"/>
      <c r="ED52" s="41"/>
      <c r="EE52" s="41"/>
      <c r="EF52" s="41"/>
      <c r="EG52" s="41"/>
      <c r="EH52" s="41"/>
      <c r="EI52" s="41"/>
      <c r="EJ52" s="41"/>
      <c r="EK52" s="41"/>
      <c r="EL52" s="41"/>
      <c r="EM52" s="41"/>
      <c r="EN52" s="41"/>
      <c r="EO52" s="41"/>
      <c r="EP52" s="41"/>
      <c r="EQ52" s="41"/>
      <c r="ER52" s="41"/>
      <c r="ES52" s="41"/>
      <c r="ET52" s="41"/>
      <c r="EU52" s="41"/>
      <c r="EV52" s="41"/>
      <c r="EW52" s="41"/>
      <c r="EX52" s="41"/>
      <c r="EY52" s="41"/>
      <c r="EZ52" s="41"/>
      <c r="FA52" s="41"/>
      <c r="FB52" s="41"/>
      <c r="FC52" s="41"/>
      <c r="FD52" s="41"/>
      <c r="FE52" s="41"/>
      <c r="FF52" s="41"/>
      <c r="FG52" s="41"/>
      <c r="FH52" s="41"/>
      <c r="FI52" s="41"/>
      <c r="FJ52" s="41"/>
      <c r="FK52" s="41"/>
      <c r="FL52" s="41"/>
      <c r="FM52" s="41"/>
      <c r="FN52" s="41"/>
      <c r="FO52" s="41"/>
      <c r="FP52" s="41"/>
      <c r="FQ52" s="41"/>
      <c r="FR52" s="41"/>
      <c r="FS52" s="41"/>
      <c r="FT52" s="41"/>
      <c r="FU52" s="41"/>
      <c r="FV52" s="41"/>
      <c r="FW52" s="41"/>
      <c r="FX52" s="41"/>
      <c r="FY52" s="41"/>
      <c r="FZ52" s="41"/>
      <c r="GA52" s="41"/>
      <c r="GB52" s="41"/>
      <c r="GC52" s="41"/>
      <c r="GD52" s="41"/>
      <c r="GE52" s="41"/>
      <c r="GF52" s="41"/>
      <c r="GG52" s="41"/>
      <c r="GH52" s="41"/>
      <c r="GI52" s="41"/>
      <c r="GJ52" s="41"/>
      <c r="GK52" s="41"/>
      <c r="GL52" s="41"/>
      <c r="GM52" s="41"/>
      <c r="GN52" s="41"/>
    </row>
    <row r="53" spans="1:196" ht="19.2" x14ac:dyDescent="0.4">
      <c r="A53" s="57">
        <v>46</v>
      </c>
      <c r="B53" s="88">
        <f>사원명부!B53</f>
        <v>0</v>
      </c>
      <c r="C53" s="89">
        <f>사원명부!D53</f>
        <v>0</v>
      </c>
      <c r="D53" s="90" t="str">
        <f>IF(B53=0,"-",사원명부!E53)</f>
        <v>-</v>
      </c>
      <c r="E53" s="91" t="str">
        <f t="shared" si="0"/>
        <v>-</v>
      </c>
      <c r="F53" s="68"/>
      <c r="G53" s="69"/>
      <c r="H53" s="102">
        <f t="shared" si="1"/>
        <v>0</v>
      </c>
      <c r="I53" s="103">
        <f t="shared" si="2"/>
        <v>0</v>
      </c>
      <c r="J53" s="104">
        <f t="shared" si="3"/>
        <v>0</v>
      </c>
      <c r="K53" s="70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2"/>
      <c r="W53" s="110">
        <f t="shared" si="4"/>
        <v>0</v>
      </c>
      <c r="X53" s="114"/>
      <c r="Y53" s="73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41"/>
      <c r="CU53" s="41"/>
      <c r="CV53" s="41"/>
      <c r="CW53" s="41"/>
      <c r="CX53" s="41"/>
      <c r="CY53" s="41"/>
      <c r="CZ53" s="41"/>
      <c r="DA53" s="41"/>
      <c r="DB53" s="41"/>
      <c r="DC53" s="41"/>
      <c r="DD53" s="41"/>
      <c r="DE53" s="41"/>
      <c r="DF53" s="41"/>
      <c r="DG53" s="41"/>
      <c r="DH53" s="41"/>
      <c r="DI53" s="41"/>
      <c r="DJ53" s="41"/>
      <c r="DK53" s="41"/>
      <c r="DL53" s="41"/>
      <c r="DM53" s="41"/>
      <c r="DN53" s="41"/>
      <c r="DO53" s="41"/>
      <c r="DP53" s="41"/>
      <c r="DQ53" s="41"/>
      <c r="DR53" s="41"/>
      <c r="DS53" s="41"/>
      <c r="DT53" s="41"/>
      <c r="DU53" s="41"/>
      <c r="DV53" s="41"/>
      <c r="DW53" s="41"/>
      <c r="DX53" s="41"/>
      <c r="DY53" s="41"/>
      <c r="DZ53" s="41"/>
      <c r="EA53" s="41"/>
      <c r="EB53" s="41"/>
      <c r="EC53" s="41"/>
      <c r="ED53" s="41"/>
      <c r="EE53" s="41"/>
      <c r="EF53" s="41"/>
      <c r="EG53" s="41"/>
      <c r="EH53" s="41"/>
      <c r="EI53" s="41"/>
      <c r="EJ53" s="41"/>
      <c r="EK53" s="41"/>
      <c r="EL53" s="41"/>
      <c r="EM53" s="41"/>
      <c r="EN53" s="41"/>
      <c r="EO53" s="41"/>
      <c r="EP53" s="41"/>
      <c r="EQ53" s="41"/>
      <c r="ER53" s="41"/>
      <c r="ES53" s="41"/>
      <c r="ET53" s="41"/>
      <c r="EU53" s="41"/>
      <c r="EV53" s="41"/>
      <c r="EW53" s="41"/>
      <c r="EX53" s="41"/>
      <c r="EY53" s="41"/>
      <c r="EZ53" s="41"/>
      <c r="FA53" s="41"/>
      <c r="FB53" s="41"/>
      <c r="FC53" s="41"/>
      <c r="FD53" s="41"/>
      <c r="FE53" s="41"/>
      <c r="FF53" s="41"/>
      <c r="FG53" s="41"/>
      <c r="FH53" s="41"/>
      <c r="FI53" s="41"/>
      <c r="FJ53" s="41"/>
      <c r="FK53" s="41"/>
      <c r="FL53" s="41"/>
      <c r="FM53" s="41"/>
      <c r="FN53" s="41"/>
      <c r="FO53" s="41"/>
      <c r="FP53" s="41"/>
      <c r="FQ53" s="41"/>
      <c r="FR53" s="41"/>
      <c r="FS53" s="41"/>
      <c r="FT53" s="41"/>
      <c r="FU53" s="41"/>
      <c r="FV53" s="41"/>
      <c r="FW53" s="41"/>
      <c r="FX53" s="41"/>
      <c r="FY53" s="41"/>
      <c r="FZ53" s="41"/>
      <c r="GA53" s="41"/>
      <c r="GB53" s="41"/>
      <c r="GC53" s="41"/>
      <c r="GD53" s="41"/>
      <c r="GE53" s="41"/>
      <c r="GF53" s="41"/>
      <c r="GG53" s="41"/>
      <c r="GH53" s="41"/>
      <c r="GI53" s="41"/>
      <c r="GJ53" s="41"/>
      <c r="GK53" s="41"/>
      <c r="GL53" s="41"/>
      <c r="GM53" s="41"/>
      <c r="GN53" s="41"/>
    </row>
    <row r="54" spans="1:196" ht="19.2" x14ac:dyDescent="0.4">
      <c r="A54" s="57">
        <v>47</v>
      </c>
      <c r="B54" s="88">
        <f>사원명부!B54</f>
        <v>0</v>
      </c>
      <c r="C54" s="89">
        <f>사원명부!D54</f>
        <v>0</v>
      </c>
      <c r="D54" s="90" t="str">
        <f>IF(B54=0,"-",사원명부!E54)</f>
        <v>-</v>
      </c>
      <c r="E54" s="91" t="str">
        <f t="shared" si="0"/>
        <v>-</v>
      </c>
      <c r="F54" s="68"/>
      <c r="G54" s="69"/>
      <c r="H54" s="102">
        <f t="shared" si="1"/>
        <v>0</v>
      </c>
      <c r="I54" s="103">
        <f t="shared" si="2"/>
        <v>0</v>
      </c>
      <c r="J54" s="104">
        <f t="shared" si="3"/>
        <v>0</v>
      </c>
      <c r="K54" s="70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2"/>
      <c r="W54" s="110">
        <f t="shared" si="4"/>
        <v>0</v>
      </c>
      <c r="X54" s="114"/>
      <c r="Y54" s="73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41"/>
      <c r="DA54" s="41"/>
      <c r="DB54" s="41"/>
      <c r="DC54" s="41"/>
      <c r="DD54" s="41"/>
      <c r="DE54" s="41"/>
      <c r="DF54" s="41"/>
      <c r="DG54" s="41"/>
      <c r="DH54" s="41"/>
      <c r="DI54" s="41"/>
      <c r="DJ54" s="41"/>
      <c r="DK54" s="41"/>
      <c r="DL54" s="41"/>
      <c r="DM54" s="41"/>
      <c r="DN54" s="41"/>
      <c r="DO54" s="41"/>
      <c r="DP54" s="41"/>
      <c r="DQ54" s="41"/>
      <c r="DR54" s="41"/>
      <c r="DS54" s="41"/>
      <c r="DT54" s="41"/>
      <c r="DU54" s="41"/>
      <c r="DV54" s="41"/>
      <c r="DW54" s="41"/>
      <c r="DX54" s="41"/>
      <c r="DY54" s="41"/>
      <c r="DZ54" s="41"/>
      <c r="EA54" s="41"/>
      <c r="EB54" s="41"/>
      <c r="EC54" s="41"/>
      <c r="ED54" s="41"/>
      <c r="EE54" s="41"/>
      <c r="EF54" s="41"/>
      <c r="EG54" s="41"/>
      <c r="EH54" s="41"/>
      <c r="EI54" s="41"/>
      <c r="EJ54" s="41"/>
      <c r="EK54" s="41"/>
      <c r="EL54" s="41"/>
      <c r="EM54" s="41"/>
      <c r="EN54" s="41"/>
      <c r="EO54" s="41"/>
      <c r="EP54" s="41"/>
      <c r="EQ54" s="41"/>
      <c r="ER54" s="41"/>
      <c r="ES54" s="41"/>
      <c r="ET54" s="41"/>
      <c r="EU54" s="41"/>
      <c r="EV54" s="41"/>
      <c r="EW54" s="41"/>
      <c r="EX54" s="41"/>
      <c r="EY54" s="41"/>
      <c r="EZ54" s="41"/>
      <c r="FA54" s="41"/>
      <c r="FB54" s="41"/>
      <c r="FC54" s="41"/>
      <c r="FD54" s="41"/>
      <c r="FE54" s="41"/>
      <c r="FF54" s="41"/>
      <c r="FG54" s="41"/>
      <c r="FH54" s="41"/>
      <c r="FI54" s="41"/>
      <c r="FJ54" s="41"/>
      <c r="FK54" s="41"/>
      <c r="FL54" s="41"/>
      <c r="FM54" s="41"/>
      <c r="FN54" s="41"/>
      <c r="FO54" s="41"/>
      <c r="FP54" s="41"/>
      <c r="FQ54" s="41"/>
      <c r="FR54" s="41"/>
      <c r="FS54" s="41"/>
      <c r="FT54" s="41"/>
      <c r="FU54" s="41"/>
      <c r="FV54" s="41"/>
      <c r="FW54" s="41"/>
      <c r="FX54" s="41"/>
      <c r="FY54" s="41"/>
      <c r="FZ54" s="41"/>
      <c r="GA54" s="41"/>
      <c r="GB54" s="41"/>
      <c r="GC54" s="41"/>
      <c r="GD54" s="41"/>
      <c r="GE54" s="41"/>
      <c r="GF54" s="41"/>
      <c r="GG54" s="41"/>
      <c r="GH54" s="41"/>
      <c r="GI54" s="41"/>
      <c r="GJ54" s="41"/>
      <c r="GK54" s="41"/>
      <c r="GL54" s="41"/>
      <c r="GM54" s="41"/>
      <c r="GN54" s="41"/>
    </row>
    <row r="55" spans="1:196" ht="19.2" x14ac:dyDescent="0.4">
      <c r="A55" s="57">
        <v>48</v>
      </c>
      <c r="B55" s="88">
        <f>사원명부!B55</f>
        <v>0</v>
      </c>
      <c r="C55" s="89">
        <f>사원명부!D55</f>
        <v>0</v>
      </c>
      <c r="D55" s="90" t="str">
        <f>IF(B55=0,"-",사원명부!E55)</f>
        <v>-</v>
      </c>
      <c r="E55" s="91" t="str">
        <f t="shared" si="0"/>
        <v>-</v>
      </c>
      <c r="F55" s="68"/>
      <c r="G55" s="69"/>
      <c r="H55" s="102">
        <f t="shared" si="1"/>
        <v>0</v>
      </c>
      <c r="I55" s="103">
        <f t="shared" si="2"/>
        <v>0</v>
      </c>
      <c r="J55" s="104">
        <f t="shared" si="3"/>
        <v>0</v>
      </c>
      <c r="K55" s="70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2"/>
      <c r="W55" s="110">
        <f t="shared" si="4"/>
        <v>0</v>
      </c>
      <c r="X55" s="114"/>
      <c r="Y55" s="73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  <c r="DM55" s="41"/>
      <c r="DN55" s="41"/>
      <c r="DO55" s="41"/>
      <c r="DP55" s="41"/>
      <c r="DQ55" s="41"/>
      <c r="DR55" s="41"/>
      <c r="DS55" s="41"/>
      <c r="DT55" s="41"/>
      <c r="DU55" s="41"/>
      <c r="DV55" s="41"/>
      <c r="DW55" s="41"/>
      <c r="DX55" s="41"/>
      <c r="DY55" s="41"/>
      <c r="DZ55" s="41"/>
      <c r="EA55" s="41"/>
      <c r="EB55" s="41"/>
      <c r="EC55" s="41"/>
      <c r="ED55" s="41"/>
      <c r="EE55" s="41"/>
      <c r="EF55" s="41"/>
      <c r="EG55" s="41"/>
      <c r="EH55" s="41"/>
      <c r="EI55" s="41"/>
      <c r="EJ55" s="41"/>
      <c r="EK55" s="41"/>
      <c r="EL55" s="41"/>
      <c r="EM55" s="41"/>
      <c r="EN55" s="41"/>
      <c r="EO55" s="41"/>
      <c r="EP55" s="41"/>
      <c r="EQ55" s="41"/>
      <c r="ER55" s="41"/>
      <c r="ES55" s="41"/>
      <c r="ET55" s="41"/>
      <c r="EU55" s="41"/>
      <c r="EV55" s="41"/>
      <c r="EW55" s="41"/>
      <c r="EX55" s="41"/>
      <c r="EY55" s="41"/>
      <c r="EZ55" s="41"/>
      <c r="FA55" s="41"/>
      <c r="FB55" s="41"/>
      <c r="FC55" s="41"/>
      <c r="FD55" s="41"/>
      <c r="FE55" s="41"/>
      <c r="FF55" s="41"/>
      <c r="FG55" s="41"/>
      <c r="FH55" s="41"/>
      <c r="FI55" s="41"/>
      <c r="FJ55" s="41"/>
      <c r="FK55" s="41"/>
      <c r="FL55" s="41"/>
      <c r="FM55" s="41"/>
      <c r="FN55" s="41"/>
      <c r="FO55" s="41"/>
      <c r="FP55" s="41"/>
      <c r="FQ55" s="41"/>
      <c r="FR55" s="41"/>
      <c r="FS55" s="41"/>
      <c r="FT55" s="41"/>
      <c r="FU55" s="41"/>
      <c r="FV55" s="41"/>
      <c r="FW55" s="41"/>
      <c r="FX55" s="41"/>
      <c r="FY55" s="41"/>
      <c r="FZ55" s="41"/>
      <c r="GA55" s="41"/>
      <c r="GB55" s="41"/>
      <c r="GC55" s="41"/>
      <c r="GD55" s="41"/>
      <c r="GE55" s="41"/>
      <c r="GF55" s="41"/>
      <c r="GG55" s="41"/>
      <c r="GH55" s="41"/>
      <c r="GI55" s="41"/>
      <c r="GJ55" s="41"/>
      <c r="GK55" s="41"/>
      <c r="GL55" s="41"/>
      <c r="GM55" s="41"/>
      <c r="GN55" s="41"/>
    </row>
    <row r="56" spans="1:196" ht="19.2" x14ac:dyDescent="0.4">
      <c r="A56" s="57">
        <v>49</v>
      </c>
      <c r="B56" s="88">
        <f>사원명부!B56</f>
        <v>0</v>
      </c>
      <c r="C56" s="89">
        <f>사원명부!D56</f>
        <v>0</v>
      </c>
      <c r="D56" s="90" t="str">
        <f>IF(B56=0,"-",사원명부!E56)</f>
        <v>-</v>
      </c>
      <c r="E56" s="91" t="str">
        <f t="shared" si="0"/>
        <v>-</v>
      </c>
      <c r="F56" s="68"/>
      <c r="G56" s="69"/>
      <c r="H56" s="102">
        <f t="shared" si="1"/>
        <v>0</v>
      </c>
      <c r="I56" s="103">
        <f t="shared" si="2"/>
        <v>0</v>
      </c>
      <c r="J56" s="104">
        <f t="shared" si="3"/>
        <v>0</v>
      </c>
      <c r="K56" s="70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2"/>
      <c r="W56" s="110">
        <f t="shared" si="4"/>
        <v>0</v>
      </c>
      <c r="X56" s="114"/>
      <c r="Y56" s="73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41"/>
      <c r="CU56" s="41"/>
      <c r="CV56" s="41"/>
      <c r="CW56" s="41"/>
      <c r="CX56" s="41"/>
      <c r="CY56" s="41"/>
      <c r="CZ56" s="41"/>
      <c r="DA56" s="41"/>
      <c r="DB56" s="41"/>
      <c r="DC56" s="41"/>
      <c r="DD56" s="41"/>
      <c r="DE56" s="41"/>
      <c r="DF56" s="41"/>
      <c r="DG56" s="41"/>
      <c r="DH56" s="41"/>
      <c r="DI56" s="41"/>
      <c r="DJ56" s="41"/>
      <c r="DK56" s="41"/>
      <c r="DL56" s="41"/>
      <c r="DM56" s="41"/>
      <c r="DN56" s="41"/>
      <c r="DO56" s="41"/>
      <c r="DP56" s="41"/>
      <c r="DQ56" s="41"/>
      <c r="DR56" s="41"/>
      <c r="DS56" s="41"/>
      <c r="DT56" s="41"/>
      <c r="DU56" s="41"/>
      <c r="DV56" s="41"/>
      <c r="DW56" s="41"/>
      <c r="DX56" s="41"/>
      <c r="DY56" s="41"/>
      <c r="DZ56" s="41"/>
      <c r="EA56" s="41"/>
      <c r="EB56" s="41"/>
      <c r="EC56" s="41"/>
      <c r="ED56" s="41"/>
      <c r="EE56" s="41"/>
      <c r="EF56" s="41"/>
      <c r="EG56" s="41"/>
      <c r="EH56" s="41"/>
      <c r="EI56" s="41"/>
      <c r="EJ56" s="41"/>
      <c r="EK56" s="41"/>
      <c r="EL56" s="41"/>
      <c r="EM56" s="41"/>
      <c r="EN56" s="41"/>
      <c r="EO56" s="41"/>
      <c r="EP56" s="41"/>
      <c r="EQ56" s="41"/>
      <c r="ER56" s="41"/>
      <c r="ES56" s="41"/>
      <c r="ET56" s="41"/>
      <c r="EU56" s="41"/>
      <c r="EV56" s="41"/>
      <c r="EW56" s="41"/>
      <c r="EX56" s="41"/>
      <c r="EY56" s="41"/>
      <c r="EZ56" s="41"/>
      <c r="FA56" s="41"/>
      <c r="FB56" s="41"/>
      <c r="FC56" s="41"/>
      <c r="FD56" s="41"/>
      <c r="FE56" s="41"/>
      <c r="FF56" s="41"/>
      <c r="FG56" s="41"/>
      <c r="FH56" s="41"/>
      <c r="FI56" s="41"/>
      <c r="FJ56" s="41"/>
      <c r="FK56" s="41"/>
      <c r="FL56" s="41"/>
      <c r="FM56" s="41"/>
      <c r="FN56" s="41"/>
      <c r="FO56" s="41"/>
      <c r="FP56" s="41"/>
      <c r="FQ56" s="41"/>
      <c r="FR56" s="41"/>
      <c r="FS56" s="41"/>
      <c r="FT56" s="41"/>
      <c r="FU56" s="41"/>
      <c r="FV56" s="41"/>
      <c r="FW56" s="41"/>
      <c r="FX56" s="41"/>
      <c r="FY56" s="41"/>
      <c r="FZ56" s="41"/>
      <c r="GA56" s="41"/>
      <c r="GB56" s="41"/>
      <c r="GC56" s="41"/>
      <c r="GD56" s="41"/>
      <c r="GE56" s="41"/>
      <c r="GF56" s="41"/>
      <c r="GG56" s="41"/>
      <c r="GH56" s="41"/>
      <c r="GI56" s="41"/>
      <c r="GJ56" s="41"/>
      <c r="GK56" s="41"/>
      <c r="GL56" s="41"/>
      <c r="GM56" s="41"/>
      <c r="GN56" s="41"/>
    </row>
    <row r="57" spans="1:196" ht="19.2" x14ac:dyDescent="0.4">
      <c r="A57" s="57">
        <v>50</v>
      </c>
      <c r="B57" s="88">
        <f>사원명부!B57</f>
        <v>0</v>
      </c>
      <c r="C57" s="89">
        <f>사원명부!D57</f>
        <v>0</v>
      </c>
      <c r="D57" s="90" t="str">
        <f>IF(B57=0,"-",사원명부!E57)</f>
        <v>-</v>
      </c>
      <c r="E57" s="91" t="str">
        <f t="shared" si="0"/>
        <v>-</v>
      </c>
      <c r="F57" s="68"/>
      <c r="G57" s="69"/>
      <c r="H57" s="102">
        <f t="shared" si="1"/>
        <v>0</v>
      </c>
      <c r="I57" s="103">
        <f t="shared" si="2"/>
        <v>0</v>
      </c>
      <c r="J57" s="104">
        <f t="shared" si="3"/>
        <v>0</v>
      </c>
      <c r="K57" s="70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2"/>
      <c r="W57" s="110">
        <f t="shared" si="4"/>
        <v>0</v>
      </c>
      <c r="X57" s="114"/>
      <c r="Y57" s="73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41"/>
      <c r="CU57" s="41"/>
      <c r="CV57" s="41"/>
      <c r="CW57" s="41"/>
      <c r="CX57" s="41"/>
      <c r="CY57" s="41"/>
      <c r="CZ57" s="41"/>
      <c r="DA57" s="41"/>
      <c r="DB57" s="41"/>
      <c r="DC57" s="41"/>
      <c r="DD57" s="41"/>
      <c r="DE57" s="41"/>
      <c r="DF57" s="41"/>
      <c r="DG57" s="41"/>
      <c r="DH57" s="41"/>
      <c r="DI57" s="41"/>
      <c r="DJ57" s="41"/>
      <c r="DK57" s="41"/>
      <c r="DL57" s="41"/>
      <c r="DM57" s="41"/>
      <c r="DN57" s="41"/>
      <c r="DO57" s="41"/>
      <c r="DP57" s="41"/>
      <c r="DQ57" s="41"/>
      <c r="DR57" s="41"/>
      <c r="DS57" s="41"/>
      <c r="DT57" s="41"/>
      <c r="DU57" s="41"/>
      <c r="DV57" s="41"/>
      <c r="DW57" s="41"/>
      <c r="DX57" s="41"/>
      <c r="DY57" s="41"/>
      <c r="DZ57" s="41"/>
      <c r="EA57" s="41"/>
      <c r="EB57" s="41"/>
      <c r="EC57" s="41"/>
      <c r="ED57" s="41"/>
      <c r="EE57" s="41"/>
      <c r="EF57" s="41"/>
      <c r="EG57" s="41"/>
      <c r="EH57" s="41"/>
      <c r="EI57" s="41"/>
      <c r="EJ57" s="41"/>
      <c r="EK57" s="41"/>
      <c r="EL57" s="41"/>
      <c r="EM57" s="41"/>
      <c r="EN57" s="41"/>
      <c r="EO57" s="41"/>
      <c r="EP57" s="41"/>
      <c r="EQ57" s="41"/>
      <c r="ER57" s="41"/>
      <c r="ES57" s="41"/>
      <c r="ET57" s="41"/>
      <c r="EU57" s="41"/>
      <c r="EV57" s="41"/>
      <c r="EW57" s="41"/>
      <c r="EX57" s="41"/>
      <c r="EY57" s="41"/>
      <c r="EZ57" s="41"/>
      <c r="FA57" s="41"/>
      <c r="FB57" s="41"/>
      <c r="FC57" s="41"/>
      <c r="FD57" s="41"/>
      <c r="FE57" s="41"/>
      <c r="FF57" s="41"/>
      <c r="FG57" s="41"/>
      <c r="FH57" s="41"/>
      <c r="FI57" s="41"/>
      <c r="FJ57" s="41"/>
      <c r="FK57" s="41"/>
      <c r="FL57" s="41"/>
      <c r="FM57" s="41"/>
      <c r="FN57" s="41"/>
      <c r="FO57" s="41"/>
      <c r="FP57" s="41"/>
      <c r="FQ57" s="41"/>
      <c r="FR57" s="41"/>
      <c r="FS57" s="41"/>
      <c r="FT57" s="41"/>
      <c r="FU57" s="41"/>
      <c r="FV57" s="41"/>
      <c r="FW57" s="41"/>
      <c r="FX57" s="41"/>
      <c r="FY57" s="41"/>
      <c r="FZ57" s="41"/>
      <c r="GA57" s="41"/>
      <c r="GB57" s="41"/>
      <c r="GC57" s="41"/>
      <c r="GD57" s="41"/>
      <c r="GE57" s="41"/>
      <c r="GF57" s="41"/>
      <c r="GG57" s="41"/>
      <c r="GH57" s="41"/>
      <c r="GI57" s="41"/>
      <c r="GJ57" s="41"/>
      <c r="GK57" s="41"/>
      <c r="GL57" s="41"/>
      <c r="GM57" s="41"/>
      <c r="GN57" s="41"/>
    </row>
    <row r="58" spans="1:196" ht="19.2" x14ac:dyDescent="0.4">
      <c r="A58" s="57">
        <v>51</v>
      </c>
      <c r="B58" s="88">
        <f>사원명부!B58</f>
        <v>0</v>
      </c>
      <c r="C58" s="89">
        <f>사원명부!D58</f>
        <v>0</v>
      </c>
      <c r="D58" s="90" t="str">
        <f>IF(B58=0,"-",사원명부!E58)</f>
        <v>-</v>
      </c>
      <c r="E58" s="91" t="str">
        <f t="shared" si="0"/>
        <v>-</v>
      </c>
      <c r="F58" s="68"/>
      <c r="G58" s="69"/>
      <c r="H58" s="102">
        <f t="shared" si="1"/>
        <v>0</v>
      </c>
      <c r="I58" s="103">
        <f t="shared" si="2"/>
        <v>0</v>
      </c>
      <c r="J58" s="104">
        <f t="shared" si="3"/>
        <v>0</v>
      </c>
      <c r="K58" s="70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2"/>
      <c r="W58" s="110">
        <f t="shared" si="4"/>
        <v>0</v>
      </c>
      <c r="X58" s="114"/>
      <c r="Y58" s="73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41"/>
      <c r="CU58" s="41"/>
      <c r="CV58" s="41"/>
      <c r="CW58" s="41"/>
      <c r="CX58" s="41"/>
      <c r="CY58" s="41"/>
      <c r="CZ58" s="41"/>
      <c r="DA58" s="41"/>
      <c r="DB58" s="41"/>
      <c r="DC58" s="41"/>
      <c r="DD58" s="41"/>
      <c r="DE58" s="41"/>
      <c r="DF58" s="41"/>
      <c r="DG58" s="41"/>
      <c r="DH58" s="41"/>
      <c r="DI58" s="41"/>
      <c r="DJ58" s="41"/>
      <c r="DK58" s="41"/>
      <c r="DL58" s="41"/>
      <c r="DM58" s="41"/>
      <c r="DN58" s="41"/>
      <c r="DO58" s="41"/>
      <c r="DP58" s="41"/>
      <c r="DQ58" s="41"/>
      <c r="DR58" s="41"/>
      <c r="DS58" s="41"/>
      <c r="DT58" s="41"/>
      <c r="DU58" s="41"/>
      <c r="DV58" s="41"/>
      <c r="DW58" s="41"/>
      <c r="DX58" s="41"/>
      <c r="DY58" s="41"/>
      <c r="DZ58" s="41"/>
      <c r="EA58" s="41"/>
      <c r="EB58" s="41"/>
      <c r="EC58" s="41"/>
      <c r="ED58" s="41"/>
      <c r="EE58" s="41"/>
      <c r="EF58" s="41"/>
      <c r="EG58" s="41"/>
      <c r="EH58" s="41"/>
      <c r="EI58" s="41"/>
      <c r="EJ58" s="41"/>
      <c r="EK58" s="41"/>
      <c r="EL58" s="41"/>
      <c r="EM58" s="41"/>
      <c r="EN58" s="41"/>
      <c r="EO58" s="41"/>
      <c r="EP58" s="41"/>
      <c r="EQ58" s="41"/>
      <c r="ER58" s="41"/>
      <c r="ES58" s="41"/>
      <c r="ET58" s="41"/>
      <c r="EU58" s="41"/>
      <c r="EV58" s="41"/>
      <c r="EW58" s="41"/>
      <c r="EX58" s="41"/>
      <c r="EY58" s="41"/>
      <c r="EZ58" s="41"/>
      <c r="FA58" s="41"/>
      <c r="FB58" s="41"/>
      <c r="FC58" s="41"/>
      <c r="FD58" s="41"/>
      <c r="FE58" s="41"/>
      <c r="FF58" s="41"/>
      <c r="FG58" s="41"/>
      <c r="FH58" s="41"/>
      <c r="FI58" s="41"/>
      <c r="FJ58" s="41"/>
      <c r="FK58" s="41"/>
      <c r="FL58" s="41"/>
      <c r="FM58" s="41"/>
      <c r="FN58" s="41"/>
      <c r="FO58" s="41"/>
      <c r="FP58" s="41"/>
      <c r="FQ58" s="41"/>
      <c r="FR58" s="41"/>
      <c r="FS58" s="41"/>
      <c r="FT58" s="41"/>
      <c r="FU58" s="41"/>
      <c r="FV58" s="41"/>
      <c r="FW58" s="41"/>
      <c r="FX58" s="41"/>
      <c r="FY58" s="41"/>
      <c r="FZ58" s="41"/>
      <c r="GA58" s="41"/>
      <c r="GB58" s="41"/>
      <c r="GC58" s="41"/>
      <c r="GD58" s="41"/>
      <c r="GE58" s="41"/>
      <c r="GF58" s="41"/>
      <c r="GG58" s="41"/>
      <c r="GH58" s="41"/>
      <c r="GI58" s="41"/>
      <c r="GJ58" s="41"/>
      <c r="GK58" s="41"/>
      <c r="GL58" s="41"/>
      <c r="GM58" s="41"/>
      <c r="GN58" s="41"/>
    </row>
    <row r="59" spans="1:196" ht="19.2" x14ac:dyDescent="0.4">
      <c r="A59" s="57">
        <v>52</v>
      </c>
      <c r="B59" s="88">
        <f>사원명부!B59</f>
        <v>0</v>
      </c>
      <c r="C59" s="89">
        <f>사원명부!D59</f>
        <v>0</v>
      </c>
      <c r="D59" s="90" t="str">
        <f>IF(B59=0,"-",사원명부!E59)</f>
        <v>-</v>
      </c>
      <c r="E59" s="91" t="str">
        <f t="shared" si="0"/>
        <v>-</v>
      </c>
      <c r="F59" s="68"/>
      <c r="G59" s="69"/>
      <c r="H59" s="102">
        <f t="shared" si="1"/>
        <v>0</v>
      </c>
      <c r="I59" s="103">
        <f t="shared" si="2"/>
        <v>0</v>
      </c>
      <c r="J59" s="104">
        <f t="shared" si="3"/>
        <v>0</v>
      </c>
      <c r="K59" s="70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2"/>
      <c r="W59" s="110">
        <f t="shared" si="4"/>
        <v>0</v>
      </c>
      <c r="X59" s="114"/>
      <c r="Y59" s="73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1"/>
      <c r="CO59" s="41"/>
      <c r="CP59" s="41"/>
      <c r="CQ59" s="41"/>
      <c r="CR59" s="41"/>
      <c r="CS59" s="41"/>
      <c r="CT59" s="41"/>
      <c r="CU59" s="41"/>
      <c r="CV59" s="41"/>
      <c r="CW59" s="41"/>
      <c r="CX59" s="41"/>
      <c r="CY59" s="41"/>
      <c r="CZ59" s="41"/>
      <c r="DA59" s="41"/>
      <c r="DB59" s="41"/>
      <c r="DC59" s="41"/>
      <c r="DD59" s="41"/>
      <c r="DE59" s="41"/>
      <c r="DF59" s="41"/>
      <c r="DG59" s="41"/>
      <c r="DH59" s="41"/>
      <c r="DI59" s="41"/>
      <c r="DJ59" s="41"/>
      <c r="DK59" s="41"/>
      <c r="DL59" s="41"/>
      <c r="DM59" s="41"/>
      <c r="DN59" s="41"/>
      <c r="DO59" s="41"/>
      <c r="DP59" s="41"/>
      <c r="DQ59" s="41"/>
      <c r="DR59" s="41"/>
      <c r="DS59" s="41"/>
      <c r="DT59" s="41"/>
      <c r="DU59" s="41"/>
      <c r="DV59" s="41"/>
      <c r="DW59" s="41"/>
      <c r="DX59" s="41"/>
      <c r="DY59" s="41"/>
      <c r="DZ59" s="41"/>
      <c r="EA59" s="41"/>
      <c r="EB59" s="41"/>
      <c r="EC59" s="41"/>
      <c r="ED59" s="41"/>
      <c r="EE59" s="41"/>
      <c r="EF59" s="41"/>
      <c r="EG59" s="41"/>
      <c r="EH59" s="41"/>
      <c r="EI59" s="41"/>
      <c r="EJ59" s="41"/>
      <c r="EK59" s="41"/>
      <c r="EL59" s="41"/>
      <c r="EM59" s="41"/>
      <c r="EN59" s="41"/>
      <c r="EO59" s="41"/>
      <c r="EP59" s="41"/>
      <c r="EQ59" s="41"/>
      <c r="ER59" s="41"/>
      <c r="ES59" s="41"/>
      <c r="ET59" s="41"/>
      <c r="EU59" s="41"/>
      <c r="EV59" s="41"/>
      <c r="EW59" s="41"/>
      <c r="EX59" s="41"/>
      <c r="EY59" s="41"/>
      <c r="EZ59" s="41"/>
      <c r="FA59" s="41"/>
      <c r="FB59" s="41"/>
      <c r="FC59" s="41"/>
      <c r="FD59" s="41"/>
      <c r="FE59" s="41"/>
      <c r="FF59" s="41"/>
      <c r="FG59" s="41"/>
      <c r="FH59" s="41"/>
      <c r="FI59" s="41"/>
      <c r="FJ59" s="41"/>
      <c r="FK59" s="41"/>
      <c r="FL59" s="41"/>
      <c r="FM59" s="41"/>
      <c r="FN59" s="41"/>
      <c r="FO59" s="41"/>
      <c r="FP59" s="41"/>
      <c r="FQ59" s="41"/>
      <c r="FR59" s="41"/>
      <c r="FS59" s="41"/>
      <c r="FT59" s="41"/>
      <c r="FU59" s="41"/>
      <c r="FV59" s="41"/>
      <c r="FW59" s="41"/>
      <c r="FX59" s="41"/>
      <c r="FY59" s="41"/>
      <c r="FZ59" s="41"/>
      <c r="GA59" s="41"/>
      <c r="GB59" s="41"/>
      <c r="GC59" s="41"/>
      <c r="GD59" s="41"/>
      <c r="GE59" s="41"/>
      <c r="GF59" s="41"/>
      <c r="GG59" s="41"/>
      <c r="GH59" s="41"/>
      <c r="GI59" s="41"/>
      <c r="GJ59" s="41"/>
      <c r="GK59" s="41"/>
      <c r="GL59" s="41"/>
      <c r="GM59" s="41"/>
      <c r="GN59" s="41"/>
    </row>
    <row r="60" spans="1:196" ht="19.2" x14ac:dyDescent="0.4">
      <c r="A60" s="57">
        <v>53</v>
      </c>
      <c r="B60" s="88">
        <f>사원명부!B60</f>
        <v>0</v>
      </c>
      <c r="C60" s="89">
        <f>사원명부!D60</f>
        <v>0</v>
      </c>
      <c r="D60" s="90" t="str">
        <f>IF(B60=0,"-",사원명부!E60)</f>
        <v>-</v>
      </c>
      <c r="E60" s="91" t="str">
        <f t="shared" si="0"/>
        <v>-</v>
      </c>
      <c r="F60" s="68"/>
      <c r="G60" s="69"/>
      <c r="H60" s="102">
        <f t="shared" si="1"/>
        <v>0</v>
      </c>
      <c r="I60" s="103">
        <f t="shared" si="2"/>
        <v>0</v>
      </c>
      <c r="J60" s="104">
        <f t="shared" si="3"/>
        <v>0</v>
      </c>
      <c r="K60" s="70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2"/>
      <c r="W60" s="110">
        <f t="shared" si="4"/>
        <v>0</v>
      </c>
      <c r="X60" s="114"/>
      <c r="Y60" s="73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  <c r="CL60" s="41"/>
      <c r="CM60" s="41"/>
      <c r="CN60" s="41"/>
      <c r="CO60" s="41"/>
      <c r="CP60" s="41"/>
      <c r="CQ60" s="41"/>
      <c r="CR60" s="41"/>
      <c r="CS60" s="41"/>
      <c r="CT60" s="41"/>
      <c r="CU60" s="41"/>
      <c r="CV60" s="41"/>
      <c r="CW60" s="41"/>
      <c r="CX60" s="41"/>
      <c r="CY60" s="41"/>
      <c r="CZ60" s="41"/>
      <c r="DA60" s="41"/>
      <c r="DB60" s="41"/>
      <c r="DC60" s="41"/>
      <c r="DD60" s="41"/>
      <c r="DE60" s="41"/>
      <c r="DF60" s="41"/>
      <c r="DG60" s="41"/>
      <c r="DH60" s="41"/>
      <c r="DI60" s="41"/>
      <c r="DJ60" s="41"/>
      <c r="DK60" s="41"/>
      <c r="DL60" s="41"/>
      <c r="DM60" s="41"/>
      <c r="DN60" s="41"/>
      <c r="DO60" s="41"/>
      <c r="DP60" s="41"/>
      <c r="DQ60" s="41"/>
      <c r="DR60" s="41"/>
      <c r="DS60" s="41"/>
      <c r="DT60" s="41"/>
      <c r="DU60" s="41"/>
      <c r="DV60" s="41"/>
      <c r="DW60" s="41"/>
      <c r="DX60" s="41"/>
      <c r="DY60" s="41"/>
      <c r="DZ60" s="41"/>
      <c r="EA60" s="41"/>
      <c r="EB60" s="41"/>
      <c r="EC60" s="41"/>
      <c r="ED60" s="41"/>
      <c r="EE60" s="41"/>
      <c r="EF60" s="41"/>
      <c r="EG60" s="41"/>
      <c r="EH60" s="41"/>
      <c r="EI60" s="41"/>
      <c r="EJ60" s="41"/>
      <c r="EK60" s="41"/>
      <c r="EL60" s="41"/>
      <c r="EM60" s="41"/>
      <c r="EN60" s="41"/>
      <c r="EO60" s="41"/>
      <c r="EP60" s="41"/>
      <c r="EQ60" s="41"/>
      <c r="ER60" s="41"/>
      <c r="ES60" s="41"/>
      <c r="ET60" s="41"/>
      <c r="EU60" s="41"/>
      <c r="EV60" s="41"/>
      <c r="EW60" s="41"/>
      <c r="EX60" s="41"/>
      <c r="EY60" s="41"/>
      <c r="EZ60" s="41"/>
      <c r="FA60" s="41"/>
      <c r="FB60" s="41"/>
      <c r="FC60" s="41"/>
      <c r="FD60" s="41"/>
      <c r="FE60" s="41"/>
      <c r="FF60" s="41"/>
      <c r="FG60" s="41"/>
      <c r="FH60" s="41"/>
      <c r="FI60" s="41"/>
      <c r="FJ60" s="41"/>
      <c r="FK60" s="41"/>
      <c r="FL60" s="41"/>
      <c r="FM60" s="41"/>
      <c r="FN60" s="41"/>
      <c r="FO60" s="41"/>
      <c r="FP60" s="41"/>
      <c r="FQ60" s="41"/>
      <c r="FR60" s="41"/>
      <c r="FS60" s="41"/>
      <c r="FT60" s="41"/>
      <c r="FU60" s="41"/>
      <c r="FV60" s="41"/>
      <c r="FW60" s="41"/>
      <c r="FX60" s="41"/>
      <c r="FY60" s="41"/>
      <c r="FZ60" s="41"/>
      <c r="GA60" s="41"/>
      <c r="GB60" s="41"/>
      <c r="GC60" s="41"/>
      <c r="GD60" s="41"/>
      <c r="GE60" s="41"/>
      <c r="GF60" s="41"/>
      <c r="GG60" s="41"/>
      <c r="GH60" s="41"/>
      <c r="GI60" s="41"/>
      <c r="GJ60" s="41"/>
      <c r="GK60" s="41"/>
      <c r="GL60" s="41"/>
      <c r="GM60" s="41"/>
      <c r="GN60" s="41"/>
    </row>
    <row r="61" spans="1:196" ht="19.2" x14ac:dyDescent="0.4">
      <c r="A61" s="57">
        <v>54</v>
      </c>
      <c r="B61" s="88">
        <f>사원명부!B61</f>
        <v>0</v>
      </c>
      <c r="C61" s="89">
        <f>사원명부!D61</f>
        <v>0</v>
      </c>
      <c r="D61" s="90" t="str">
        <f>IF(B61=0,"-",사원명부!E61)</f>
        <v>-</v>
      </c>
      <c r="E61" s="91" t="str">
        <f t="shared" si="0"/>
        <v>-</v>
      </c>
      <c r="F61" s="68"/>
      <c r="G61" s="69"/>
      <c r="H61" s="102">
        <f t="shared" si="1"/>
        <v>0</v>
      </c>
      <c r="I61" s="103">
        <f t="shared" si="2"/>
        <v>0</v>
      </c>
      <c r="J61" s="104">
        <f t="shared" si="3"/>
        <v>0</v>
      </c>
      <c r="K61" s="70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2"/>
      <c r="W61" s="110">
        <f t="shared" si="4"/>
        <v>0</v>
      </c>
      <c r="X61" s="114"/>
      <c r="Y61" s="73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1"/>
      <c r="CO61" s="41"/>
      <c r="CP61" s="41"/>
      <c r="CQ61" s="41"/>
      <c r="CR61" s="41"/>
      <c r="CS61" s="41"/>
      <c r="CT61" s="41"/>
      <c r="CU61" s="41"/>
      <c r="CV61" s="41"/>
      <c r="CW61" s="41"/>
      <c r="CX61" s="41"/>
      <c r="CY61" s="41"/>
      <c r="CZ61" s="41"/>
      <c r="DA61" s="41"/>
      <c r="DB61" s="41"/>
      <c r="DC61" s="41"/>
      <c r="DD61" s="41"/>
      <c r="DE61" s="41"/>
      <c r="DF61" s="41"/>
      <c r="DG61" s="41"/>
      <c r="DH61" s="41"/>
      <c r="DI61" s="41"/>
      <c r="DJ61" s="41"/>
      <c r="DK61" s="41"/>
      <c r="DL61" s="41"/>
      <c r="DM61" s="41"/>
      <c r="DN61" s="41"/>
      <c r="DO61" s="41"/>
      <c r="DP61" s="41"/>
      <c r="DQ61" s="41"/>
      <c r="DR61" s="41"/>
      <c r="DS61" s="41"/>
      <c r="DT61" s="41"/>
      <c r="DU61" s="41"/>
      <c r="DV61" s="41"/>
      <c r="DW61" s="41"/>
      <c r="DX61" s="41"/>
      <c r="DY61" s="41"/>
      <c r="DZ61" s="41"/>
      <c r="EA61" s="41"/>
      <c r="EB61" s="41"/>
      <c r="EC61" s="41"/>
      <c r="ED61" s="41"/>
      <c r="EE61" s="41"/>
      <c r="EF61" s="41"/>
      <c r="EG61" s="41"/>
      <c r="EH61" s="41"/>
      <c r="EI61" s="41"/>
      <c r="EJ61" s="41"/>
      <c r="EK61" s="41"/>
      <c r="EL61" s="41"/>
      <c r="EM61" s="41"/>
      <c r="EN61" s="41"/>
      <c r="EO61" s="41"/>
      <c r="EP61" s="41"/>
      <c r="EQ61" s="41"/>
      <c r="ER61" s="41"/>
      <c r="ES61" s="41"/>
      <c r="ET61" s="41"/>
      <c r="EU61" s="41"/>
      <c r="EV61" s="41"/>
      <c r="EW61" s="41"/>
      <c r="EX61" s="41"/>
      <c r="EY61" s="41"/>
      <c r="EZ61" s="41"/>
      <c r="FA61" s="41"/>
      <c r="FB61" s="41"/>
      <c r="FC61" s="41"/>
      <c r="FD61" s="41"/>
      <c r="FE61" s="41"/>
      <c r="FF61" s="41"/>
      <c r="FG61" s="41"/>
      <c r="FH61" s="41"/>
      <c r="FI61" s="41"/>
      <c r="FJ61" s="41"/>
      <c r="FK61" s="41"/>
      <c r="FL61" s="41"/>
      <c r="FM61" s="41"/>
      <c r="FN61" s="41"/>
      <c r="FO61" s="41"/>
      <c r="FP61" s="41"/>
      <c r="FQ61" s="41"/>
      <c r="FR61" s="41"/>
      <c r="FS61" s="41"/>
      <c r="FT61" s="41"/>
      <c r="FU61" s="41"/>
      <c r="FV61" s="41"/>
      <c r="FW61" s="41"/>
      <c r="FX61" s="41"/>
      <c r="FY61" s="41"/>
      <c r="FZ61" s="41"/>
      <c r="GA61" s="41"/>
      <c r="GB61" s="41"/>
      <c r="GC61" s="41"/>
      <c r="GD61" s="41"/>
      <c r="GE61" s="41"/>
      <c r="GF61" s="41"/>
      <c r="GG61" s="41"/>
      <c r="GH61" s="41"/>
      <c r="GI61" s="41"/>
      <c r="GJ61" s="41"/>
      <c r="GK61" s="41"/>
      <c r="GL61" s="41"/>
      <c r="GM61" s="41"/>
      <c r="GN61" s="41"/>
    </row>
    <row r="62" spans="1:196" ht="19.2" x14ac:dyDescent="0.4">
      <c r="A62" s="57">
        <v>55</v>
      </c>
      <c r="B62" s="88">
        <f>사원명부!B62</f>
        <v>0</v>
      </c>
      <c r="C62" s="89">
        <f>사원명부!D62</f>
        <v>0</v>
      </c>
      <c r="D62" s="90" t="str">
        <f>IF(B62=0,"-",사원명부!E62)</f>
        <v>-</v>
      </c>
      <c r="E62" s="91" t="str">
        <f t="shared" si="0"/>
        <v>-</v>
      </c>
      <c r="F62" s="68"/>
      <c r="G62" s="69"/>
      <c r="H62" s="102">
        <f t="shared" si="1"/>
        <v>0</v>
      </c>
      <c r="I62" s="103">
        <f t="shared" si="2"/>
        <v>0</v>
      </c>
      <c r="J62" s="104">
        <f t="shared" si="3"/>
        <v>0</v>
      </c>
      <c r="K62" s="70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2"/>
      <c r="W62" s="110">
        <f t="shared" si="4"/>
        <v>0</v>
      </c>
      <c r="X62" s="114"/>
      <c r="Y62" s="73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1"/>
      <c r="CO62" s="41"/>
      <c r="CP62" s="41"/>
      <c r="CQ62" s="41"/>
      <c r="CR62" s="41"/>
      <c r="CS62" s="41"/>
      <c r="CT62" s="41"/>
      <c r="CU62" s="41"/>
      <c r="CV62" s="41"/>
      <c r="CW62" s="41"/>
      <c r="CX62" s="41"/>
      <c r="CY62" s="41"/>
      <c r="CZ62" s="41"/>
      <c r="DA62" s="41"/>
      <c r="DB62" s="41"/>
      <c r="DC62" s="41"/>
      <c r="DD62" s="41"/>
      <c r="DE62" s="41"/>
      <c r="DF62" s="41"/>
      <c r="DG62" s="41"/>
      <c r="DH62" s="41"/>
      <c r="DI62" s="41"/>
      <c r="DJ62" s="41"/>
      <c r="DK62" s="41"/>
      <c r="DL62" s="41"/>
      <c r="DM62" s="41"/>
      <c r="DN62" s="41"/>
      <c r="DO62" s="41"/>
      <c r="DP62" s="41"/>
      <c r="DQ62" s="41"/>
      <c r="DR62" s="41"/>
      <c r="DS62" s="41"/>
      <c r="DT62" s="41"/>
      <c r="DU62" s="41"/>
      <c r="DV62" s="41"/>
      <c r="DW62" s="41"/>
      <c r="DX62" s="41"/>
      <c r="DY62" s="41"/>
      <c r="DZ62" s="41"/>
      <c r="EA62" s="41"/>
      <c r="EB62" s="41"/>
      <c r="EC62" s="41"/>
      <c r="ED62" s="41"/>
      <c r="EE62" s="41"/>
      <c r="EF62" s="41"/>
      <c r="EG62" s="41"/>
      <c r="EH62" s="41"/>
      <c r="EI62" s="41"/>
      <c r="EJ62" s="41"/>
      <c r="EK62" s="41"/>
      <c r="EL62" s="41"/>
      <c r="EM62" s="41"/>
      <c r="EN62" s="41"/>
      <c r="EO62" s="41"/>
      <c r="EP62" s="41"/>
      <c r="EQ62" s="41"/>
      <c r="ER62" s="41"/>
      <c r="ES62" s="41"/>
      <c r="ET62" s="41"/>
      <c r="EU62" s="41"/>
      <c r="EV62" s="41"/>
      <c r="EW62" s="41"/>
      <c r="EX62" s="41"/>
      <c r="EY62" s="41"/>
      <c r="EZ62" s="41"/>
      <c r="FA62" s="41"/>
      <c r="FB62" s="41"/>
      <c r="FC62" s="41"/>
      <c r="FD62" s="41"/>
      <c r="FE62" s="41"/>
      <c r="FF62" s="41"/>
      <c r="FG62" s="41"/>
      <c r="FH62" s="41"/>
      <c r="FI62" s="41"/>
      <c r="FJ62" s="41"/>
      <c r="FK62" s="41"/>
      <c r="FL62" s="41"/>
      <c r="FM62" s="41"/>
      <c r="FN62" s="41"/>
      <c r="FO62" s="41"/>
      <c r="FP62" s="41"/>
      <c r="FQ62" s="41"/>
      <c r="FR62" s="41"/>
      <c r="FS62" s="41"/>
      <c r="FT62" s="41"/>
      <c r="FU62" s="41"/>
      <c r="FV62" s="41"/>
      <c r="FW62" s="41"/>
      <c r="FX62" s="41"/>
      <c r="FY62" s="41"/>
      <c r="FZ62" s="41"/>
      <c r="GA62" s="41"/>
      <c r="GB62" s="41"/>
      <c r="GC62" s="41"/>
      <c r="GD62" s="41"/>
      <c r="GE62" s="41"/>
      <c r="GF62" s="41"/>
      <c r="GG62" s="41"/>
      <c r="GH62" s="41"/>
      <c r="GI62" s="41"/>
      <c r="GJ62" s="41"/>
      <c r="GK62" s="41"/>
      <c r="GL62" s="41"/>
      <c r="GM62" s="41"/>
      <c r="GN62" s="41"/>
    </row>
    <row r="63" spans="1:196" ht="19.2" x14ac:dyDescent="0.4">
      <c r="A63" s="57">
        <v>56</v>
      </c>
      <c r="B63" s="88">
        <f>사원명부!B63</f>
        <v>0</v>
      </c>
      <c r="C63" s="89">
        <f>사원명부!D63</f>
        <v>0</v>
      </c>
      <c r="D63" s="90" t="str">
        <f>IF(B63=0,"-",사원명부!E63)</f>
        <v>-</v>
      </c>
      <c r="E63" s="91" t="str">
        <f t="shared" si="0"/>
        <v>-</v>
      </c>
      <c r="F63" s="68"/>
      <c r="G63" s="69"/>
      <c r="H63" s="102">
        <f t="shared" si="1"/>
        <v>0</v>
      </c>
      <c r="I63" s="103">
        <f t="shared" si="2"/>
        <v>0</v>
      </c>
      <c r="J63" s="104">
        <f t="shared" si="3"/>
        <v>0</v>
      </c>
      <c r="K63" s="70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2"/>
      <c r="W63" s="110">
        <f t="shared" si="4"/>
        <v>0</v>
      </c>
      <c r="X63" s="114"/>
      <c r="Y63" s="73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  <c r="CF63" s="41"/>
      <c r="CG63" s="41"/>
      <c r="CH63" s="41"/>
      <c r="CI63" s="41"/>
      <c r="CJ63" s="41"/>
      <c r="CK63" s="41"/>
      <c r="CL63" s="41"/>
      <c r="CM63" s="41"/>
      <c r="CN63" s="41"/>
      <c r="CO63" s="41"/>
      <c r="CP63" s="41"/>
      <c r="CQ63" s="41"/>
      <c r="CR63" s="41"/>
      <c r="CS63" s="41"/>
      <c r="CT63" s="41"/>
      <c r="CU63" s="41"/>
      <c r="CV63" s="41"/>
      <c r="CW63" s="41"/>
      <c r="CX63" s="41"/>
      <c r="CY63" s="41"/>
      <c r="CZ63" s="41"/>
      <c r="DA63" s="41"/>
      <c r="DB63" s="41"/>
      <c r="DC63" s="41"/>
      <c r="DD63" s="41"/>
      <c r="DE63" s="41"/>
      <c r="DF63" s="41"/>
      <c r="DG63" s="41"/>
      <c r="DH63" s="41"/>
      <c r="DI63" s="41"/>
      <c r="DJ63" s="41"/>
      <c r="DK63" s="41"/>
      <c r="DL63" s="41"/>
      <c r="DM63" s="41"/>
      <c r="DN63" s="41"/>
      <c r="DO63" s="41"/>
      <c r="DP63" s="41"/>
      <c r="DQ63" s="41"/>
      <c r="DR63" s="41"/>
      <c r="DS63" s="41"/>
      <c r="DT63" s="41"/>
      <c r="DU63" s="41"/>
      <c r="DV63" s="41"/>
      <c r="DW63" s="41"/>
      <c r="DX63" s="41"/>
      <c r="DY63" s="41"/>
      <c r="DZ63" s="41"/>
      <c r="EA63" s="41"/>
      <c r="EB63" s="41"/>
      <c r="EC63" s="41"/>
      <c r="ED63" s="41"/>
      <c r="EE63" s="41"/>
      <c r="EF63" s="41"/>
      <c r="EG63" s="41"/>
      <c r="EH63" s="41"/>
      <c r="EI63" s="41"/>
      <c r="EJ63" s="41"/>
      <c r="EK63" s="41"/>
      <c r="EL63" s="41"/>
      <c r="EM63" s="41"/>
      <c r="EN63" s="41"/>
      <c r="EO63" s="41"/>
      <c r="EP63" s="41"/>
      <c r="EQ63" s="41"/>
      <c r="ER63" s="41"/>
      <c r="ES63" s="41"/>
      <c r="ET63" s="41"/>
      <c r="EU63" s="41"/>
      <c r="EV63" s="41"/>
      <c r="EW63" s="41"/>
      <c r="EX63" s="41"/>
      <c r="EY63" s="41"/>
      <c r="EZ63" s="41"/>
      <c r="FA63" s="41"/>
      <c r="FB63" s="41"/>
      <c r="FC63" s="41"/>
      <c r="FD63" s="41"/>
      <c r="FE63" s="41"/>
      <c r="FF63" s="41"/>
      <c r="FG63" s="41"/>
      <c r="FH63" s="41"/>
      <c r="FI63" s="41"/>
      <c r="FJ63" s="41"/>
      <c r="FK63" s="41"/>
      <c r="FL63" s="41"/>
      <c r="FM63" s="41"/>
      <c r="FN63" s="41"/>
      <c r="FO63" s="41"/>
      <c r="FP63" s="41"/>
      <c r="FQ63" s="41"/>
      <c r="FR63" s="41"/>
      <c r="FS63" s="41"/>
      <c r="FT63" s="41"/>
      <c r="FU63" s="41"/>
      <c r="FV63" s="41"/>
      <c r="FW63" s="41"/>
      <c r="FX63" s="41"/>
      <c r="FY63" s="41"/>
      <c r="FZ63" s="41"/>
      <c r="GA63" s="41"/>
      <c r="GB63" s="41"/>
      <c r="GC63" s="41"/>
      <c r="GD63" s="41"/>
      <c r="GE63" s="41"/>
      <c r="GF63" s="41"/>
      <c r="GG63" s="41"/>
      <c r="GH63" s="41"/>
      <c r="GI63" s="41"/>
      <c r="GJ63" s="41"/>
      <c r="GK63" s="41"/>
      <c r="GL63" s="41"/>
      <c r="GM63" s="41"/>
      <c r="GN63" s="41"/>
    </row>
    <row r="64" spans="1:196" ht="19.2" x14ac:dyDescent="0.4">
      <c r="A64" s="57">
        <v>57</v>
      </c>
      <c r="B64" s="88">
        <f>사원명부!B64</f>
        <v>0</v>
      </c>
      <c r="C64" s="89">
        <f>사원명부!D64</f>
        <v>0</v>
      </c>
      <c r="D64" s="90" t="str">
        <f>IF(B64=0,"-",사원명부!E64)</f>
        <v>-</v>
      </c>
      <c r="E64" s="91" t="str">
        <f t="shared" si="0"/>
        <v>-</v>
      </c>
      <c r="F64" s="68"/>
      <c r="G64" s="69"/>
      <c r="H64" s="102">
        <f t="shared" si="1"/>
        <v>0</v>
      </c>
      <c r="I64" s="103">
        <f t="shared" si="2"/>
        <v>0</v>
      </c>
      <c r="J64" s="104">
        <f t="shared" si="3"/>
        <v>0</v>
      </c>
      <c r="K64" s="70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2"/>
      <c r="W64" s="110">
        <f t="shared" si="4"/>
        <v>0</v>
      </c>
      <c r="X64" s="114"/>
      <c r="Y64" s="73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  <c r="CF64" s="41"/>
      <c r="CG64" s="41"/>
      <c r="CH64" s="41"/>
      <c r="CI64" s="41"/>
      <c r="CJ64" s="41"/>
      <c r="CK64" s="41"/>
      <c r="CL64" s="41"/>
      <c r="CM64" s="41"/>
      <c r="CN64" s="41"/>
      <c r="CO64" s="41"/>
      <c r="CP64" s="41"/>
      <c r="CQ64" s="41"/>
      <c r="CR64" s="41"/>
      <c r="CS64" s="41"/>
      <c r="CT64" s="41"/>
      <c r="CU64" s="41"/>
      <c r="CV64" s="41"/>
      <c r="CW64" s="41"/>
      <c r="CX64" s="41"/>
      <c r="CY64" s="41"/>
      <c r="CZ64" s="41"/>
      <c r="DA64" s="41"/>
      <c r="DB64" s="41"/>
      <c r="DC64" s="41"/>
      <c r="DD64" s="41"/>
      <c r="DE64" s="41"/>
      <c r="DF64" s="41"/>
      <c r="DG64" s="41"/>
      <c r="DH64" s="41"/>
      <c r="DI64" s="41"/>
      <c r="DJ64" s="41"/>
      <c r="DK64" s="41"/>
      <c r="DL64" s="41"/>
      <c r="DM64" s="41"/>
      <c r="DN64" s="41"/>
      <c r="DO64" s="41"/>
      <c r="DP64" s="41"/>
      <c r="DQ64" s="41"/>
      <c r="DR64" s="41"/>
      <c r="DS64" s="41"/>
      <c r="DT64" s="41"/>
      <c r="DU64" s="41"/>
      <c r="DV64" s="41"/>
      <c r="DW64" s="41"/>
      <c r="DX64" s="41"/>
      <c r="DY64" s="41"/>
      <c r="DZ64" s="41"/>
      <c r="EA64" s="41"/>
      <c r="EB64" s="41"/>
      <c r="EC64" s="41"/>
      <c r="ED64" s="41"/>
      <c r="EE64" s="41"/>
      <c r="EF64" s="41"/>
      <c r="EG64" s="41"/>
      <c r="EH64" s="41"/>
      <c r="EI64" s="41"/>
      <c r="EJ64" s="41"/>
      <c r="EK64" s="41"/>
      <c r="EL64" s="41"/>
      <c r="EM64" s="41"/>
      <c r="EN64" s="41"/>
      <c r="EO64" s="41"/>
      <c r="EP64" s="41"/>
      <c r="EQ64" s="41"/>
      <c r="ER64" s="41"/>
      <c r="ES64" s="41"/>
      <c r="ET64" s="41"/>
      <c r="EU64" s="41"/>
      <c r="EV64" s="41"/>
      <c r="EW64" s="41"/>
      <c r="EX64" s="41"/>
      <c r="EY64" s="41"/>
      <c r="EZ64" s="41"/>
      <c r="FA64" s="41"/>
      <c r="FB64" s="41"/>
      <c r="FC64" s="41"/>
      <c r="FD64" s="41"/>
      <c r="FE64" s="41"/>
      <c r="FF64" s="41"/>
      <c r="FG64" s="41"/>
      <c r="FH64" s="41"/>
      <c r="FI64" s="41"/>
      <c r="FJ64" s="41"/>
      <c r="FK64" s="41"/>
      <c r="FL64" s="41"/>
      <c r="FM64" s="41"/>
      <c r="FN64" s="41"/>
      <c r="FO64" s="41"/>
      <c r="FP64" s="41"/>
      <c r="FQ64" s="41"/>
      <c r="FR64" s="41"/>
      <c r="FS64" s="41"/>
      <c r="FT64" s="41"/>
      <c r="FU64" s="41"/>
      <c r="FV64" s="41"/>
      <c r="FW64" s="41"/>
      <c r="FX64" s="41"/>
      <c r="FY64" s="41"/>
      <c r="FZ64" s="41"/>
      <c r="GA64" s="41"/>
      <c r="GB64" s="41"/>
      <c r="GC64" s="41"/>
      <c r="GD64" s="41"/>
      <c r="GE64" s="41"/>
      <c r="GF64" s="41"/>
      <c r="GG64" s="41"/>
      <c r="GH64" s="41"/>
      <c r="GI64" s="41"/>
      <c r="GJ64" s="41"/>
      <c r="GK64" s="41"/>
      <c r="GL64" s="41"/>
      <c r="GM64" s="41"/>
      <c r="GN64" s="41"/>
    </row>
    <row r="65" spans="1:196" ht="19.2" x14ac:dyDescent="0.4">
      <c r="A65" s="57">
        <v>58</v>
      </c>
      <c r="B65" s="88">
        <f>사원명부!B65</f>
        <v>0</v>
      </c>
      <c r="C65" s="89">
        <f>사원명부!D65</f>
        <v>0</v>
      </c>
      <c r="D65" s="90" t="str">
        <f>IF(B65=0,"-",사원명부!E65)</f>
        <v>-</v>
      </c>
      <c r="E65" s="91" t="str">
        <f t="shared" si="0"/>
        <v>-</v>
      </c>
      <c r="F65" s="68"/>
      <c r="G65" s="69"/>
      <c r="H65" s="102">
        <f t="shared" si="1"/>
        <v>0</v>
      </c>
      <c r="I65" s="103">
        <f t="shared" si="2"/>
        <v>0</v>
      </c>
      <c r="J65" s="104">
        <f t="shared" si="3"/>
        <v>0</v>
      </c>
      <c r="K65" s="70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2"/>
      <c r="W65" s="110">
        <f t="shared" si="4"/>
        <v>0</v>
      </c>
      <c r="X65" s="114"/>
      <c r="Y65" s="73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  <c r="CF65" s="41"/>
      <c r="CG65" s="41"/>
      <c r="CH65" s="41"/>
      <c r="CI65" s="41"/>
      <c r="CJ65" s="41"/>
      <c r="CK65" s="41"/>
      <c r="CL65" s="41"/>
      <c r="CM65" s="41"/>
      <c r="CN65" s="41"/>
      <c r="CO65" s="41"/>
      <c r="CP65" s="41"/>
      <c r="CQ65" s="41"/>
      <c r="CR65" s="41"/>
      <c r="CS65" s="41"/>
      <c r="CT65" s="41"/>
      <c r="CU65" s="41"/>
      <c r="CV65" s="41"/>
      <c r="CW65" s="41"/>
      <c r="CX65" s="41"/>
      <c r="CY65" s="41"/>
      <c r="CZ65" s="41"/>
      <c r="DA65" s="41"/>
      <c r="DB65" s="41"/>
      <c r="DC65" s="41"/>
      <c r="DD65" s="41"/>
      <c r="DE65" s="41"/>
      <c r="DF65" s="41"/>
      <c r="DG65" s="41"/>
      <c r="DH65" s="41"/>
      <c r="DI65" s="41"/>
      <c r="DJ65" s="41"/>
      <c r="DK65" s="41"/>
      <c r="DL65" s="41"/>
      <c r="DM65" s="41"/>
      <c r="DN65" s="41"/>
      <c r="DO65" s="41"/>
      <c r="DP65" s="41"/>
      <c r="DQ65" s="41"/>
      <c r="DR65" s="41"/>
      <c r="DS65" s="41"/>
      <c r="DT65" s="41"/>
      <c r="DU65" s="41"/>
      <c r="DV65" s="41"/>
      <c r="DW65" s="41"/>
      <c r="DX65" s="41"/>
      <c r="DY65" s="41"/>
      <c r="DZ65" s="41"/>
      <c r="EA65" s="41"/>
      <c r="EB65" s="41"/>
      <c r="EC65" s="41"/>
      <c r="ED65" s="41"/>
      <c r="EE65" s="41"/>
      <c r="EF65" s="41"/>
      <c r="EG65" s="41"/>
      <c r="EH65" s="41"/>
      <c r="EI65" s="41"/>
      <c r="EJ65" s="41"/>
      <c r="EK65" s="41"/>
      <c r="EL65" s="41"/>
      <c r="EM65" s="41"/>
      <c r="EN65" s="41"/>
      <c r="EO65" s="41"/>
      <c r="EP65" s="41"/>
      <c r="EQ65" s="41"/>
      <c r="ER65" s="41"/>
      <c r="ES65" s="41"/>
      <c r="ET65" s="41"/>
      <c r="EU65" s="41"/>
      <c r="EV65" s="41"/>
      <c r="EW65" s="41"/>
      <c r="EX65" s="41"/>
      <c r="EY65" s="41"/>
      <c r="EZ65" s="41"/>
      <c r="FA65" s="41"/>
      <c r="FB65" s="41"/>
      <c r="FC65" s="41"/>
      <c r="FD65" s="41"/>
      <c r="FE65" s="41"/>
      <c r="FF65" s="41"/>
      <c r="FG65" s="41"/>
      <c r="FH65" s="41"/>
      <c r="FI65" s="41"/>
      <c r="FJ65" s="41"/>
      <c r="FK65" s="41"/>
      <c r="FL65" s="41"/>
      <c r="FM65" s="41"/>
      <c r="FN65" s="41"/>
      <c r="FO65" s="41"/>
      <c r="FP65" s="41"/>
      <c r="FQ65" s="41"/>
      <c r="FR65" s="41"/>
      <c r="FS65" s="41"/>
      <c r="FT65" s="41"/>
      <c r="FU65" s="41"/>
      <c r="FV65" s="41"/>
      <c r="FW65" s="41"/>
      <c r="FX65" s="41"/>
      <c r="FY65" s="41"/>
      <c r="FZ65" s="41"/>
      <c r="GA65" s="41"/>
      <c r="GB65" s="41"/>
      <c r="GC65" s="41"/>
      <c r="GD65" s="41"/>
      <c r="GE65" s="41"/>
      <c r="GF65" s="41"/>
      <c r="GG65" s="41"/>
      <c r="GH65" s="41"/>
      <c r="GI65" s="41"/>
      <c r="GJ65" s="41"/>
      <c r="GK65" s="41"/>
      <c r="GL65" s="41"/>
      <c r="GM65" s="41"/>
      <c r="GN65" s="41"/>
    </row>
    <row r="66" spans="1:196" ht="19.2" x14ac:dyDescent="0.4">
      <c r="A66" s="57">
        <v>59</v>
      </c>
      <c r="B66" s="88">
        <f>사원명부!B66</f>
        <v>0</v>
      </c>
      <c r="C66" s="89">
        <f>사원명부!D66</f>
        <v>0</v>
      </c>
      <c r="D66" s="90" t="str">
        <f>IF(B66=0,"-",사원명부!E66)</f>
        <v>-</v>
      </c>
      <c r="E66" s="91" t="str">
        <f t="shared" si="0"/>
        <v>-</v>
      </c>
      <c r="F66" s="68"/>
      <c r="G66" s="69"/>
      <c r="H66" s="102">
        <f t="shared" si="1"/>
        <v>0</v>
      </c>
      <c r="I66" s="103">
        <f t="shared" si="2"/>
        <v>0</v>
      </c>
      <c r="J66" s="104">
        <f t="shared" si="3"/>
        <v>0</v>
      </c>
      <c r="K66" s="70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2"/>
      <c r="W66" s="110">
        <f t="shared" si="4"/>
        <v>0</v>
      </c>
      <c r="X66" s="114"/>
      <c r="Y66" s="73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41"/>
      <c r="CH66" s="41"/>
      <c r="CI66" s="41"/>
      <c r="CJ66" s="41"/>
      <c r="CK66" s="41"/>
      <c r="CL66" s="41"/>
      <c r="CM66" s="41"/>
      <c r="CN66" s="41"/>
      <c r="CO66" s="41"/>
      <c r="CP66" s="41"/>
      <c r="CQ66" s="41"/>
      <c r="CR66" s="41"/>
      <c r="CS66" s="41"/>
      <c r="CT66" s="41"/>
      <c r="CU66" s="41"/>
      <c r="CV66" s="41"/>
      <c r="CW66" s="41"/>
      <c r="CX66" s="41"/>
      <c r="CY66" s="41"/>
      <c r="CZ66" s="41"/>
      <c r="DA66" s="41"/>
      <c r="DB66" s="41"/>
      <c r="DC66" s="41"/>
      <c r="DD66" s="41"/>
      <c r="DE66" s="41"/>
      <c r="DF66" s="41"/>
      <c r="DG66" s="41"/>
      <c r="DH66" s="41"/>
      <c r="DI66" s="41"/>
      <c r="DJ66" s="41"/>
      <c r="DK66" s="41"/>
      <c r="DL66" s="41"/>
      <c r="DM66" s="41"/>
      <c r="DN66" s="41"/>
      <c r="DO66" s="41"/>
      <c r="DP66" s="41"/>
      <c r="DQ66" s="41"/>
      <c r="DR66" s="41"/>
      <c r="DS66" s="41"/>
      <c r="DT66" s="41"/>
      <c r="DU66" s="41"/>
      <c r="DV66" s="41"/>
      <c r="DW66" s="41"/>
      <c r="DX66" s="41"/>
      <c r="DY66" s="41"/>
      <c r="DZ66" s="41"/>
      <c r="EA66" s="41"/>
      <c r="EB66" s="41"/>
      <c r="EC66" s="41"/>
      <c r="ED66" s="41"/>
      <c r="EE66" s="41"/>
      <c r="EF66" s="41"/>
      <c r="EG66" s="41"/>
      <c r="EH66" s="41"/>
      <c r="EI66" s="41"/>
      <c r="EJ66" s="41"/>
      <c r="EK66" s="41"/>
      <c r="EL66" s="41"/>
      <c r="EM66" s="41"/>
      <c r="EN66" s="41"/>
      <c r="EO66" s="41"/>
      <c r="EP66" s="41"/>
      <c r="EQ66" s="41"/>
      <c r="ER66" s="41"/>
      <c r="ES66" s="41"/>
      <c r="ET66" s="41"/>
      <c r="EU66" s="41"/>
      <c r="EV66" s="41"/>
      <c r="EW66" s="41"/>
      <c r="EX66" s="41"/>
      <c r="EY66" s="41"/>
      <c r="EZ66" s="41"/>
      <c r="FA66" s="41"/>
      <c r="FB66" s="41"/>
      <c r="FC66" s="41"/>
      <c r="FD66" s="41"/>
      <c r="FE66" s="41"/>
      <c r="FF66" s="41"/>
      <c r="FG66" s="41"/>
      <c r="FH66" s="41"/>
      <c r="FI66" s="41"/>
      <c r="FJ66" s="41"/>
      <c r="FK66" s="41"/>
      <c r="FL66" s="41"/>
      <c r="FM66" s="41"/>
      <c r="FN66" s="41"/>
      <c r="FO66" s="41"/>
      <c r="FP66" s="41"/>
      <c r="FQ66" s="41"/>
      <c r="FR66" s="41"/>
      <c r="FS66" s="41"/>
      <c r="FT66" s="41"/>
      <c r="FU66" s="41"/>
      <c r="FV66" s="41"/>
      <c r="FW66" s="41"/>
      <c r="FX66" s="41"/>
      <c r="FY66" s="41"/>
      <c r="FZ66" s="41"/>
      <c r="GA66" s="41"/>
      <c r="GB66" s="41"/>
      <c r="GC66" s="41"/>
      <c r="GD66" s="41"/>
      <c r="GE66" s="41"/>
      <c r="GF66" s="41"/>
      <c r="GG66" s="41"/>
      <c r="GH66" s="41"/>
      <c r="GI66" s="41"/>
      <c r="GJ66" s="41"/>
      <c r="GK66" s="41"/>
      <c r="GL66" s="41"/>
      <c r="GM66" s="41"/>
      <c r="GN66" s="41"/>
    </row>
    <row r="67" spans="1:196" ht="19.2" x14ac:dyDescent="0.4">
      <c r="A67" s="57">
        <v>60</v>
      </c>
      <c r="B67" s="88">
        <f>사원명부!B67</f>
        <v>0</v>
      </c>
      <c r="C67" s="89">
        <f>사원명부!D67</f>
        <v>0</v>
      </c>
      <c r="D67" s="90" t="str">
        <f>IF(B67=0,"-",사원명부!E67)</f>
        <v>-</v>
      </c>
      <c r="E67" s="91" t="str">
        <f t="shared" si="0"/>
        <v>-</v>
      </c>
      <c r="F67" s="68"/>
      <c r="G67" s="69"/>
      <c r="H67" s="102">
        <f t="shared" si="1"/>
        <v>0</v>
      </c>
      <c r="I67" s="103">
        <f t="shared" si="2"/>
        <v>0</v>
      </c>
      <c r="J67" s="104">
        <f t="shared" si="3"/>
        <v>0</v>
      </c>
      <c r="K67" s="70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2"/>
      <c r="W67" s="110">
        <f t="shared" si="4"/>
        <v>0</v>
      </c>
      <c r="X67" s="114"/>
      <c r="Y67" s="73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  <c r="CL67" s="41"/>
      <c r="CM67" s="41"/>
      <c r="CN67" s="41"/>
      <c r="CO67" s="41"/>
      <c r="CP67" s="41"/>
      <c r="CQ67" s="41"/>
      <c r="CR67" s="41"/>
      <c r="CS67" s="41"/>
      <c r="CT67" s="41"/>
      <c r="CU67" s="41"/>
      <c r="CV67" s="41"/>
      <c r="CW67" s="41"/>
      <c r="CX67" s="41"/>
      <c r="CY67" s="41"/>
      <c r="CZ67" s="41"/>
      <c r="DA67" s="41"/>
      <c r="DB67" s="41"/>
      <c r="DC67" s="41"/>
      <c r="DD67" s="41"/>
      <c r="DE67" s="41"/>
      <c r="DF67" s="41"/>
      <c r="DG67" s="41"/>
      <c r="DH67" s="41"/>
      <c r="DI67" s="41"/>
      <c r="DJ67" s="41"/>
      <c r="DK67" s="41"/>
      <c r="DL67" s="41"/>
      <c r="DM67" s="41"/>
      <c r="DN67" s="41"/>
      <c r="DO67" s="41"/>
      <c r="DP67" s="41"/>
      <c r="DQ67" s="41"/>
      <c r="DR67" s="41"/>
      <c r="DS67" s="41"/>
      <c r="DT67" s="41"/>
      <c r="DU67" s="41"/>
      <c r="DV67" s="41"/>
      <c r="DW67" s="41"/>
      <c r="DX67" s="41"/>
      <c r="DY67" s="41"/>
      <c r="DZ67" s="41"/>
      <c r="EA67" s="41"/>
      <c r="EB67" s="41"/>
      <c r="EC67" s="41"/>
      <c r="ED67" s="41"/>
      <c r="EE67" s="41"/>
      <c r="EF67" s="41"/>
      <c r="EG67" s="41"/>
      <c r="EH67" s="41"/>
      <c r="EI67" s="41"/>
      <c r="EJ67" s="41"/>
      <c r="EK67" s="41"/>
      <c r="EL67" s="41"/>
      <c r="EM67" s="41"/>
      <c r="EN67" s="41"/>
      <c r="EO67" s="41"/>
      <c r="EP67" s="41"/>
      <c r="EQ67" s="41"/>
      <c r="ER67" s="41"/>
      <c r="ES67" s="41"/>
      <c r="ET67" s="41"/>
      <c r="EU67" s="41"/>
      <c r="EV67" s="41"/>
      <c r="EW67" s="41"/>
      <c r="EX67" s="41"/>
      <c r="EY67" s="41"/>
      <c r="EZ67" s="41"/>
      <c r="FA67" s="41"/>
      <c r="FB67" s="41"/>
      <c r="FC67" s="41"/>
      <c r="FD67" s="41"/>
      <c r="FE67" s="41"/>
      <c r="FF67" s="41"/>
      <c r="FG67" s="41"/>
      <c r="FH67" s="41"/>
      <c r="FI67" s="41"/>
      <c r="FJ67" s="41"/>
      <c r="FK67" s="41"/>
      <c r="FL67" s="41"/>
      <c r="FM67" s="41"/>
      <c r="FN67" s="41"/>
      <c r="FO67" s="41"/>
      <c r="FP67" s="41"/>
      <c r="FQ67" s="41"/>
      <c r="FR67" s="41"/>
      <c r="FS67" s="41"/>
      <c r="FT67" s="41"/>
      <c r="FU67" s="41"/>
      <c r="FV67" s="41"/>
      <c r="FW67" s="41"/>
      <c r="FX67" s="41"/>
      <c r="FY67" s="41"/>
      <c r="FZ67" s="41"/>
      <c r="GA67" s="41"/>
      <c r="GB67" s="41"/>
      <c r="GC67" s="41"/>
      <c r="GD67" s="41"/>
      <c r="GE67" s="41"/>
      <c r="GF67" s="41"/>
      <c r="GG67" s="41"/>
      <c r="GH67" s="41"/>
      <c r="GI67" s="41"/>
      <c r="GJ67" s="41"/>
      <c r="GK67" s="41"/>
      <c r="GL67" s="41"/>
      <c r="GM67" s="41"/>
      <c r="GN67" s="41"/>
    </row>
    <row r="68" spans="1:196" ht="19.2" x14ac:dyDescent="0.4">
      <c r="A68" s="57">
        <v>61</v>
      </c>
      <c r="B68" s="88">
        <f>사원명부!B68</f>
        <v>0</v>
      </c>
      <c r="C68" s="89">
        <f>사원명부!D68</f>
        <v>0</v>
      </c>
      <c r="D68" s="90" t="str">
        <f>IF(B68=0,"-",사원명부!E68)</f>
        <v>-</v>
      </c>
      <c r="E68" s="91" t="str">
        <f t="shared" si="0"/>
        <v>-</v>
      </c>
      <c r="F68" s="68"/>
      <c r="G68" s="69"/>
      <c r="H68" s="102">
        <f t="shared" si="1"/>
        <v>0</v>
      </c>
      <c r="I68" s="103">
        <f t="shared" si="2"/>
        <v>0</v>
      </c>
      <c r="J68" s="104">
        <f t="shared" si="3"/>
        <v>0</v>
      </c>
      <c r="K68" s="70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2"/>
      <c r="W68" s="110">
        <f t="shared" si="4"/>
        <v>0</v>
      </c>
      <c r="X68" s="114"/>
      <c r="Y68" s="73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  <c r="CR68" s="41"/>
      <c r="CS68" s="41"/>
      <c r="CT68" s="41"/>
      <c r="CU68" s="41"/>
      <c r="CV68" s="41"/>
      <c r="CW68" s="41"/>
      <c r="CX68" s="41"/>
      <c r="CY68" s="41"/>
      <c r="CZ68" s="41"/>
      <c r="DA68" s="41"/>
      <c r="DB68" s="41"/>
      <c r="DC68" s="41"/>
      <c r="DD68" s="41"/>
      <c r="DE68" s="41"/>
      <c r="DF68" s="41"/>
      <c r="DG68" s="41"/>
      <c r="DH68" s="41"/>
      <c r="DI68" s="41"/>
      <c r="DJ68" s="41"/>
      <c r="DK68" s="41"/>
      <c r="DL68" s="41"/>
      <c r="DM68" s="41"/>
      <c r="DN68" s="41"/>
      <c r="DO68" s="41"/>
      <c r="DP68" s="41"/>
      <c r="DQ68" s="41"/>
      <c r="DR68" s="41"/>
      <c r="DS68" s="41"/>
      <c r="DT68" s="41"/>
      <c r="DU68" s="41"/>
      <c r="DV68" s="41"/>
      <c r="DW68" s="41"/>
      <c r="DX68" s="41"/>
      <c r="DY68" s="41"/>
      <c r="DZ68" s="41"/>
      <c r="EA68" s="41"/>
      <c r="EB68" s="41"/>
      <c r="EC68" s="41"/>
      <c r="ED68" s="41"/>
      <c r="EE68" s="41"/>
      <c r="EF68" s="41"/>
      <c r="EG68" s="41"/>
      <c r="EH68" s="41"/>
      <c r="EI68" s="41"/>
      <c r="EJ68" s="41"/>
      <c r="EK68" s="41"/>
      <c r="EL68" s="41"/>
      <c r="EM68" s="41"/>
      <c r="EN68" s="41"/>
      <c r="EO68" s="41"/>
      <c r="EP68" s="41"/>
      <c r="EQ68" s="41"/>
      <c r="ER68" s="41"/>
      <c r="ES68" s="41"/>
      <c r="ET68" s="41"/>
      <c r="EU68" s="41"/>
      <c r="EV68" s="41"/>
      <c r="EW68" s="41"/>
      <c r="EX68" s="41"/>
      <c r="EY68" s="41"/>
      <c r="EZ68" s="41"/>
      <c r="FA68" s="41"/>
      <c r="FB68" s="41"/>
      <c r="FC68" s="41"/>
      <c r="FD68" s="41"/>
      <c r="FE68" s="41"/>
      <c r="FF68" s="41"/>
      <c r="FG68" s="41"/>
      <c r="FH68" s="41"/>
      <c r="FI68" s="41"/>
      <c r="FJ68" s="41"/>
      <c r="FK68" s="41"/>
      <c r="FL68" s="41"/>
      <c r="FM68" s="41"/>
      <c r="FN68" s="41"/>
      <c r="FO68" s="41"/>
      <c r="FP68" s="41"/>
      <c r="FQ68" s="41"/>
      <c r="FR68" s="41"/>
      <c r="FS68" s="41"/>
      <c r="FT68" s="41"/>
      <c r="FU68" s="41"/>
      <c r="FV68" s="41"/>
      <c r="FW68" s="41"/>
      <c r="FX68" s="41"/>
      <c r="FY68" s="41"/>
      <c r="FZ68" s="41"/>
      <c r="GA68" s="41"/>
      <c r="GB68" s="41"/>
      <c r="GC68" s="41"/>
      <c r="GD68" s="41"/>
      <c r="GE68" s="41"/>
      <c r="GF68" s="41"/>
      <c r="GG68" s="41"/>
      <c r="GH68" s="41"/>
      <c r="GI68" s="41"/>
      <c r="GJ68" s="41"/>
      <c r="GK68" s="41"/>
      <c r="GL68" s="41"/>
      <c r="GM68" s="41"/>
      <c r="GN68" s="41"/>
    </row>
    <row r="69" spans="1:196" ht="19.2" x14ac:dyDescent="0.4">
      <c r="A69" s="57">
        <v>62</v>
      </c>
      <c r="B69" s="88">
        <f>사원명부!B69</f>
        <v>0</v>
      </c>
      <c r="C69" s="89">
        <f>사원명부!D69</f>
        <v>0</v>
      </c>
      <c r="D69" s="90" t="str">
        <f>IF(B69=0,"-",사원명부!E69)</f>
        <v>-</v>
      </c>
      <c r="E69" s="91" t="str">
        <f t="shared" si="0"/>
        <v>-</v>
      </c>
      <c r="F69" s="68"/>
      <c r="G69" s="69"/>
      <c r="H69" s="102">
        <f t="shared" si="1"/>
        <v>0</v>
      </c>
      <c r="I69" s="103">
        <f t="shared" si="2"/>
        <v>0</v>
      </c>
      <c r="J69" s="104">
        <f t="shared" si="3"/>
        <v>0</v>
      </c>
      <c r="K69" s="70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2"/>
      <c r="W69" s="110">
        <f t="shared" si="4"/>
        <v>0</v>
      </c>
      <c r="X69" s="114"/>
      <c r="Y69" s="73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  <c r="CM69" s="41"/>
      <c r="CN69" s="41"/>
      <c r="CO69" s="41"/>
      <c r="CP69" s="41"/>
      <c r="CQ69" s="41"/>
      <c r="CR69" s="41"/>
      <c r="CS69" s="41"/>
      <c r="CT69" s="41"/>
      <c r="CU69" s="41"/>
      <c r="CV69" s="41"/>
      <c r="CW69" s="41"/>
      <c r="CX69" s="41"/>
      <c r="CY69" s="41"/>
      <c r="CZ69" s="41"/>
      <c r="DA69" s="41"/>
      <c r="DB69" s="41"/>
      <c r="DC69" s="41"/>
      <c r="DD69" s="41"/>
      <c r="DE69" s="41"/>
      <c r="DF69" s="41"/>
      <c r="DG69" s="41"/>
      <c r="DH69" s="41"/>
      <c r="DI69" s="41"/>
      <c r="DJ69" s="41"/>
      <c r="DK69" s="41"/>
      <c r="DL69" s="41"/>
      <c r="DM69" s="41"/>
      <c r="DN69" s="41"/>
      <c r="DO69" s="41"/>
      <c r="DP69" s="41"/>
      <c r="DQ69" s="41"/>
      <c r="DR69" s="41"/>
      <c r="DS69" s="41"/>
      <c r="DT69" s="41"/>
      <c r="DU69" s="41"/>
      <c r="DV69" s="41"/>
      <c r="DW69" s="41"/>
      <c r="DX69" s="41"/>
      <c r="DY69" s="41"/>
      <c r="DZ69" s="41"/>
      <c r="EA69" s="41"/>
      <c r="EB69" s="41"/>
      <c r="EC69" s="41"/>
      <c r="ED69" s="41"/>
      <c r="EE69" s="41"/>
      <c r="EF69" s="41"/>
      <c r="EG69" s="41"/>
      <c r="EH69" s="41"/>
      <c r="EI69" s="41"/>
      <c r="EJ69" s="41"/>
      <c r="EK69" s="41"/>
      <c r="EL69" s="41"/>
      <c r="EM69" s="41"/>
      <c r="EN69" s="41"/>
      <c r="EO69" s="41"/>
      <c r="EP69" s="41"/>
      <c r="EQ69" s="41"/>
      <c r="ER69" s="41"/>
      <c r="ES69" s="41"/>
      <c r="ET69" s="41"/>
      <c r="EU69" s="41"/>
      <c r="EV69" s="41"/>
      <c r="EW69" s="41"/>
      <c r="EX69" s="41"/>
      <c r="EY69" s="41"/>
      <c r="EZ69" s="41"/>
      <c r="FA69" s="41"/>
      <c r="FB69" s="41"/>
      <c r="FC69" s="41"/>
      <c r="FD69" s="41"/>
      <c r="FE69" s="41"/>
      <c r="FF69" s="41"/>
      <c r="FG69" s="41"/>
      <c r="FH69" s="41"/>
      <c r="FI69" s="41"/>
      <c r="FJ69" s="41"/>
      <c r="FK69" s="41"/>
      <c r="FL69" s="41"/>
      <c r="FM69" s="41"/>
      <c r="FN69" s="41"/>
      <c r="FO69" s="41"/>
      <c r="FP69" s="41"/>
      <c r="FQ69" s="41"/>
      <c r="FR69" s="41"/>
      <c r="FS69" s="41"/>
      <c r="FT69" s="41"/>
      <c r="FU69" s="41"/>
      <c r="FV69" s="41"/>
      <c r="FW69" s="41"/>
      <c r="FX69" s="41"/>
      <c r="FY69" s="41"/>
      <c r="FZ69" s="41"/>
      <c r="GA69" s="41"/>
      <c r="GB69" s="41"/>
      <c r="GC69" s="41"/>
      <c r="GD69" s="41"/>
      <c r="GE69" s="41"/>
      <c r="GF69" s="41"/>
      <c r="GG69" s="41"/>
      <c r="GH69" s="41"/>
      <c r="GI69" s="41"/>
      <c r="GJ69" s="41"/>
      <c r="GK69" s="41"/>
      <c r="GL69" s="41"/>
      <c r="GM69" s="41"/>
      <c r="GN69" s="41"/>
    </row>
    <row r="70" spans="1:196" ht="19.2" x14ac:dyDescent="0.4">
      <c r="A70" s="57">
        <v>63</v>
      </c>
      <c r="B70" s="88">
        <f>사원명부!B70</f>
        <v>0</v>
      </c>
      <c r="C70" s="89">
        <f>사원명부!D70</f>
        <v>0</v>
      </c>
      <c r="D70" s="90" t="str">
        <f>IF(B70=0,"-",사원명부!E70)</f>
        <v>-</v>
      </c>
      <c r="E70" s="91" t="str">
        <f t="shared" si="0"/>
        <v>-</v>
      </c>
      <c r="F70" s="68"/>
      <c r="G70" s="69"/>
      <c r="H70" s="102">
        <f t="shared" si="1"/>
        <v>0</v>
      </c>
      <c r="I70" s="103">
        <f t="shared" si="2"/>
        <v>0</v>
      </c>
      <c r="J70" s="104">
        <f t="shared" si="3"/>
        <v>0</v>
      </c>
      <c r="K70" s="70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2"/>
      <c r="W70" s="110">
        <f t="shared" si="4"/>
        <v>0</v>
      </c>
      <c r="X70" s="114"/>
      <c r="Y70" s="73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  <c r="CG70" s="41"/>
      <c r="CH70" s="41"/>
      <c r="CI70" s="41"/>
      <c r="CJ70" s="41"/>
      <c r="CK70" s="41"/>
      <c r="CL70" s="41"/>
      <c r="CM70" s="41"/>
      <c r="CN70" s="41"/>
      <c r="CO70" s="41"/>
      <c r="CP70" s="41"/>
      <c r="CQ70" s="41"/>
      <c r="CR70" s="41"/>
      <c r="CS70" s="41"/>
      <c r="CT70" s="41"/>
      <c r="CU70" s="41"/>
      <c r="CV70" s="41"/>
      <c r="CW70" s="41"/>
      <c r="CX70" s="41"/>
      <c r="CY70" s="41"/>
      <c r="CZ70" s="41"/>
      <c r="DA70" s="41"/>
      <c r="DB70" s="41"/>
      <c r="DC70" s="41"/>
      <c r="DD70" s="41"/>
      <c r="DE70" s="41"/>
      <c r="DF70" s="41"/>
      <c r="DG70" s="41"/>
      <c r="DH70" s="41"/>
      <c r="DI70" s="41"/>
      <c r="DJ70" s="41"/>
      <c r="DK70" s="41"/>
      <c r="DL70" s="41"/>
      <c r="DM70" s="41"/>
      <c r="DN70" s="41"/>
      <c r="DO70" s="41"/>
      <c r="DP70" s="41"/>
      <c r="DQ70" s="41"/>
      <c r="DR70" s="41"/>
      <c r="DS70" s="41"/>
      <c r="DT70" s="41"/>
      <c r="DU70" s="41"/>
      <c r="DV70" s="41"/>
      <c r="DW70" s="41"/>
      <c r="DX70" s="41"/>
      <c r="DY70" s="41"/>
      <c r="DZ70" s="41"/>
      <c r="EA70" s="41"/>
      <c r="EB70" s="41"/>
      <c r="EC70" s="41"/>
      <c r="ED70" s="41"/>
      <c r="EE70" s="41"/>
      <c r="EF70" s="41"/>
      <c r="EG70" s="41"/>
      <c r="EH70" s="41"/>
      <c r="EI70" s="41"/>
      <c r="EJ70" s="41"/>
      <c r="EK70" s="41"/>
      <c r="EL70" s="41"/>
      <c r="EM70" s="41"/>
      <c r="EN70" s="41"/>
      <c r="EO70" s="41"/>
      <c r="EP70" s="41"/>
      <c r="EQ70" s="41"/>
      <c r="ER70" s="41"/>
      <c r="ES70" s="41"/>
      <c r="ET70" s="41"/>
      <c r="EU70" s="41"/>
      <c r="EV70" s="41"/>
      <c r="EW70" s="41"/>
      <c r="EX70" s="41"/>
      <c r="EY70" s="41"/>
      <c r="EZ70" s="41"/>
      <c r="FA70" s="41"/>
      <c r="FB70" s="41"/>
      <c r="FC70" s="41"/>
      <c r="FD70" s="41"/>
      <c r="FE70" s="41"/>
      <c r="FF70" s="41"/>
      <c r="FG70" s="41"/>
      <c r="FH70" s="41"/>
      <c r="FI70" s="41"/>
      <c r="FJ70" s="41"/>
      <c r="FK70" s="41"/>
      <c r="FL70" s="41"/>
      <c r="FM70" s="41"/>
      <c r="FN70" s="41"/>
      <c r="FO70" s="41"/>
      <c r="FP70" s="41"/>
      <c r="FQ70" s="41"/>
      <c r="FR70" s="41"/>
      <c r="FS70" s="41"/>
      <c r="FT70" s="41"/>
      <c r="FU70" s="41"/>
      <c r="FV70" s="41"/>
      <c r="FW70" s="41"/>
      <c r="FX70" s="41"/>
      <c r="FY70" s="41"/>
      <c r="FZ70" s="41"/>
      <c r="GA70" s="41"/>
      <c r="GB70" s="41"/>
      <c r="GC70" s="41"/>
      <c r="GD70" s="41"/>
      <c r="GE70" s="41"/>
      <c r="GF70" s="41"/>
      <c r="GG70" s="41"/>
      <c r="GH70" s="41"/>
      <c r="GI70" s="41"/>
      <c r="GJ70" s="41"/>
      <c r="GK70" s="41"/>
      <c r="GL70" s="41"/>
      <c r="GM70" s="41"/>
      <c r="GN70" s="41"/>
    </row>
    <row r="71" spans="1:196" ht="19.2" x14ac:dyDescent="0.4">
      <c r="A71" s="57">
        <v>64</v>
      </c>
      <c r="B71" s="88">
        <f>사원명부!B71</f>
        <v>0</v>
      </c>
      <c r="C71" s="89">
        <f>사원명부!D71</f>
        <v>0</v>
      </c>
      <c r="D71" s="90" t="str">
        <f>IF(B71=0,"-",사원명부!E71)</f>
        <v>-</v>
      </c>
      <c r="E71" s="91" t="str">
        <f t="shared" si="0"/>
        <v>-</v>
      </c>
      <c r="F71" s="68"/>
      <c r="G71" s="69"/>
      <c r="H71" s="102">
        <f t="shared" si="1"/>
        <v>0</v>
      </c>
      <c r="I71" s="103">
        <f t="shared" si="2"/>
        <v>0</v>
      </c>
      <c r="J71" s="104">
        <f t="shared" si="3"/>
        <v>0</v>
      </c>
      <c r="K71" s="70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2"/>
      <c r="W71" s="110">
        <f t="shared" si="4"/>
        <v>0</v>
      </c>
      <c r="X71" s="114"/>
      <c r="Y71" s="73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  <c r="CG71" s="41"/>
      <c r="CH71" s="41"/>
      <c r="CI71" s="41"/>
      <c r="CJ71" s="41"/>
      <c r="CK71" s="41"/>
      <c r="CL71" s="41"/>
      <c r="CM71" s="41"/>
      <c r="CN71" s="41"/>
      <c r="CO71" s="41"/>
      <c r="CP71" s="41"/>
      <c r="CQ71" s="41"/>
      <c r="CR71" s="41"/>
      <c r="CS71" s="41"/>
      <c r="CT71" s="41"/>
      <c r="CU71" s="41"/>
      <c r="CV71" s="41"/>
      <c r="CW71" s="41"/>
      <c r="CX71" s="41"/>
      <c r="CY71" s="41"/>
      <c r="CZ71" s="41"/>
      <c r="DA71" s="41"/>
      <c r="DB71" s="41"/>
      <c r="DC71" s="41"/>
      <c r="DD71" s="41"/>
      <c r="DE71" s="41"/>
      <c r="DF71" s="41"/>
      <c r="DG71" s="41"/>
      <c r="DH71" s="41"/>
      <c r="DI71" s="41"/>
      <c r="DJ71" s="41"/>
      <c r="DK71" s="41"/>
      <c r="DL71" s="41"/>
      <c r="DM71" s="41"/>
      <c r="DN71" s="41"/>
      <c r="DO71" s="41"/>
      <c r="DP71" s="41"/>
      <c r="DQ71" s="41"/>
      <c r="DR71" s="41"/>
      <c r="DS71" s="41"/>
      <c r="DT71" s="41"/>
      <c r="DU71" s="41"/>
      <c r="DV71" s="41"/>
      <c r="DW71" s="41"/>
      <c r="DX71" s="41"/>
      <c r="DY71" s="41"/>
      <c r="DZ71" s="41"/>
      <c r="EA71" s="41"/>
      <c r="EB71" s="41"/>
      <c r="EC71" s="41"/>
      <c r="ED71" s="41"/>
      <c r="EE71" s="41"/>
      <c r="EF71" s="41"/>
      <c r="EG71" s="41"/>
      <c r="EH71" s="41"/>
      <c r="EI71" s="41"/>
      <c r="EJ71" s="41"/>
      <c r="EK71" s="41"/>
      <c r="EL71" s="41"/>
      <c r="EM71" s="41"/>
      <c r="EN71" s="41"/>
      <c r="EO71" s="41"/>
      <c r="EP71" s="41"/>
      <c r="EQ71" s="41"/>
      <c r="ER71" s="41"/>
      <c r="ES71" s="41"/>
      <c r="ET71" s="41"/>
      <c r="EU71" s="41"/>
      <c r="EV71" s="41"/>
      <c r="EW71" s="41"/>
      <c r="EX71" s="41"/>
      <c r="EY71" s="41"/>
      <c r="EZ71" s="41"/>
      <c r="FA71" s="41"/>
      <c r="FB71" s="41"/>
      <c r="FC71" s="41"/>
      <c r="FD71" s="41"/>
      <c r="FE71" s="41"/>
      <c r="FF71" s="41"/>
      <c r="FG71" s="41"/>
      <c r="FH71" s="41"/>
      <c r="FI71" s="41"/>
      <c r="FJ71" s="41"/>
      <c r="FK71" s="41"/>
      <c r="FL71" s="41"/>
      <c r="FM71" s="41"/>
      <c r="FN71" s="41"/>
      <c r="FO71" s="41"/>
      <c r="FP71" s="41"/>
      <c r="FQ71" s="41"/>
      <c r="FR71" s="41"/>
      <c r="FS71" s="41"/>
      <c r="FT71" s="41"/>
      <c r="FU71" s="41"/>
      <c r="FV71" s="41"/>
      <c r="FW71" s="41"/>
      <c r="FX71" s="41"/>
      <c r="FY71" s="41"/>
      <c r="FZ71" s="41"/>
      <c r="GA71" s="41"/>
      <c r="GB71" s="41"/>
      <c r="GC71" s="41"/>
      <c r="GD71" s="41"/>
      <c r="GE71" s="41"/>
      <c r="GF71" s="41"/>
      <c r="GG71" s="41"/>
      <c r="GH71" s="41"/>
      <c r="GI71" s="41"/>
      <c r="GJ71" s="41"/>
      <c r="GK71" s="41"/>
      <c r="GL71" s="41"/>
      <c r="GM71" s="41"/>
      <c r="GN71" s="41"/>
    </row>
    <row r="72" spans="1:196" ht="19.2" x14ac:dyDescent="0.4">
      <c r="A72" s="57">
        <v>65</v>
      </c>
      <c r="B72" s="88">
        <f>사원명부!B72</f>
        <v>0</v>
      </c>
      <c r="C72" s="89">
        <f>사원명부!D72</f>
        <v>0</v>
      </c>
      <c r="D72" s="90" t="str">
        <f>IF(B72=0,"-",사원명부!E72)</f>
        <v>-</v>
      </c>
      <c r="E72" s="91" t="str">
        <f t="shared" si="0"/>
        <v>-</v>
      </c>
      <c r="F72" s="68"/>
      <c r="G72" s="69"/>
      <c r="H72" s="102">
        <f t="shared" si="1"/>
        <v>0</v>
      </c>
      <c r="I72" s="103">
        <f t="shared" si="2"/>
        <v>0</v>
      </c>
      <c r="J72" s="104">
        <f t="shared" si="3"/>
        <v>0</v>
      </c>
      <c r="K72" s="70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2"/>
      <c r="W72" s="110">
        <f t="shared" si="4"/>
        <v>0</v>
      </c>
      <c r="X72" s="114"/>
      <c r="Y72" s="73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  <c r="CG72" s="41"/>
      <c r="CH72" s="41"/>
      <c r="CI72" s="41"/>
      <c r="CJ72" s="41"/>
      <c r="CK72" s="41"/>
      <c r="CL72" s="41"/>
      <c r="CM72" s="41"/>
      <c r="CN72" s="41"/>
      <c r="CO72" s="41"/>
      <c r="CP72" s="41"/>
      <c r="CQ72" s="41"/>
      <c r="CR72" s="41"/>
      <c r="CS72" s="41"/>
      <c r="CT72" s="41"/>
      <c r="CU72" s="41"/>
      <c r="CV72" s="41"/>
      <c r="CW72" s="41"/>
      <c r="CX72" s="41"/>
      <c r="CY72" s="41"/>
      <c r="CZ72" s="41"/>
      <c r="DA72" s="41"/>
      <c r="DB72" s="41"/>
      <c r="DC72" s="41"/>
      <c r="DD72" s="41"/>
      <c r="DE72" s="41"/>
      <c r="DF72" s="41"/>
      <c r="DG72" s="41"/>
      <c r="DH72" s="41"/>
      <c r="DI72" s="41"/>
      <c r="DJ72" s="41"/>
      <c r="DK72" s="41"/>
      <c r="DL72" s="41"/>
      <c r="DM72" s="41"/>
      <c r="DN72" s="41"/>
      <c r="DO72" s="41"/>
      <c r="DP72" s="41"/>
      <c r="DQ72" s="41"/>
      <c r="DR72" s="41"/>
      <c r="DS72" s="41"/>
      <c r="DT72" s="41"/>
      <c r="DU72" s="41"/>
      <c r="DV72" s="41"/>
      <c r="DW72" s="41"/>
      <c r="DX72" s="41"/>
      <c r="DY72" s="41"/>
      <c r="DZ72" s="41"/>
      <c r="EA72" s="41"/>
      <c r="EB72" s="41"/>
      <c r="EC72" s="41"/>
      <c r="ED72" s="41"/>
      <c r="EE72" s="41"/>
      <c r="EF72" s="41"/>
      <c r="EG72" s="41"/>
      <c r="EH72" s="41"/>
      <c r="EI72" s="41"/>
      <c r="EJ72" s="41"/>
      <c r="EK72" s="41"/>
      <c r="EL72" s="41"/>
      <c r="EM72" s="41"/>
      <c r="EN72" s="41"/>
      <c r="EO72" s="41"/>
      <c r="EP72" s="41"/>
      <c r="EQ72" s="41"/>
      <c r="ER72" s="41"/>
      <c r="ES72" s="41"/>
      <c r="ET72" s="41"/>
      <c r="EU72" s="41"/>
      <c r="EV72" s="41"/>
      <c r="EW72" s="41"/>
      <c r="EX72" s="41"/>
      <c r="EY72" s="41"/>
      <c r="EZ72" s="41"/>
      <c r="FA72" s="41"/>
      <c r="FB72" s="41"/>
      <c r="FC72" s="41"/>
      <c r="FD72" s="41"/>
      <c r="FE72" s="41"/>
      <c r="FF72" s="41"/>
      <c r="FG72" s="41"/>
      <c r="FH72" s="41"/>
      <c r="FI72" s="41"/>
      <c r="FJ72" s="41"/>
      <c r="FK72" s="41"/>
      <c r="FL72" s="41"/>
      <c r="FM72" s="41"/>
      <c r="FN72" s="41"/>
      <c r="FO72" s="41"/>
      <c r="FP72" s="41"/>
      <c r="FQ72" s="41"/>
      <c r="FR72" s="41"/>
      <c r="FS72" s="41"/>
      <c r="FT72" s="41"/>
      <c r="FU72" s="41"/>
      <c r="FV72" s="41"/>
      <c r="FW72" s="41"/>
      <c r="FX72" s="41"/>
      <c r="FY72" s="41"/>
      <c r="FZ72" s="41"/>
      <c r="GA72" s="41"/>
      <c r="GB72" s="41"/>
      <c r="GC72" s="41"/>
      <c r="GD72" s="41"/>
      <c r="GE72" s="41"/>
      <c r="GF72" s="41"/>
      <c r="GG72" s="41"/>
      <c r="GH72" s="41"/>
      <c r="GI72" s="41"/>
      <c r="GJ72" s="41"/>
      <c r="GK72" s="41"/>
      <c r="GL72" s="41"/>
      <c r="GM72" s="41"/>
      <c r="GN72" s="41"/>
    </row>
    <row r="73" spans="1:196" ht="19.2" x14ac:dyDescent="0.4">
      <c r="A73" s="57">
        <v>66</v>
      </c>
      <c r="B73" s="88">
        <f>사원명부!B73</f>
        <v>0</v>
      </c>
      <c r="C73" s="89">
        <f>사원명부!D73</f>
        <v>0</v>
      </c>
      <c r="D73" s="90" t="str">
        <f>IF(B73=0,"-",사원명부!E73)</f>
        <v>-</v>
      </c>
      <c r="E73" s="91" t="str">
        <f t="shared" ref="E73:E107" si="7">IF(B73=0,"-",D73+1)</f>
        <v>-</v>
      </c>
      <c r="F73" s="68"/>
      <c r="G73" s="69"/>
      <c r="H73" s="102">
        <f t="shared" ref="H73:H107" si="8">IFERROR(F73+G73,"")</f>
        <v>0</v>
      </c>
      <c r="I73" s="103">
        <f t="shared" ref="I73:I107" si="9">W73</f>
        <v>0</v>
      </c>
      <c r="J73" s="104">
        <f t="shared" ref="J73:J107" si="10">IFERROR(F73+G73-I73,"")</f>
        <v>0</v>
      </c>
      <c r="K73" s="70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2"/>
      <c r="W73" s="110">
        <f t="shared" ref="W73:W107" si="11">LEN(K73)-LEN(SUBSTITUTE(K73,",",""))+1-COUNTBLANK(K73)+LEN(L73)-LEN(SUBSTITUTE(L73,",",""))+1-COUNTBLANK(L73)+LEN(M73)-LEN(SUBSTITUTE(M73,",",""))+1-COUNTBLANK(M73)+LEN(N73)-LEN(SUBSTITUTE(N73,",",""))+1-COUNTBLANK(N73)+LEN(O73)-LEN(SUBSTITUTE(O73,",",""))+1-COUNTBLANK(O73)+LEN(P73)-LEN(SUBSTITUTE(P73,",",""))+1-COUNTBLANK(P73)+LEN(Q73)-LEN(SUBSTITUTE(Q73,",",""))+1-COUNTBLANK(Q73)+LEN(R73)-LEN(SUBSTITUTE(R73,",",""))+1-COUNTBLANK(R73)+LEN(S73)-LEN(SUBSTITUTE(S73,",",""))+1-COUNTBLANK(S73)+LEN(T73)-LEN(SUBSTITUTE(T73,",",""))+1-COUNTBLANK(T73)+LEN(U73)-LEN(SUBSTITUTE(U73,",",""))+1-COUNTBLANK(U73)+LEN(V73)-LEN(SUBSTITUTE(V73,",",""))+1-COUNTBLANK(V73)-X73</f>
        <v>0</v>
      </c>
      <c r="X73" s="114"/>
      <c r="Y73" s="73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  <c r="CG73" s="41"/>
      <c r="CH73" s="41"/>
      <c r="CI73" s="41"/>
      <c r="CJ73" s="41"/>
      <c r="CK73" s="41"/>
      <c r="CL73" s="41"/>
      <c r="CM73" s="41"/>
      <c r="CN73" s="41"/>
      <c r="CO73" s="41"/>
      <c r="CP73" s="41"/>
      <c r="CQ73" s="41"/>
      <c r="CR73" s="41"/>
      <c r="CS73" s="41"/>
      <c r="CT73" s="41"/>
      <c r="CU73" s="41"/>
      <c r="CV73" s="41"/>
      <c r="CW73" s="41"/>
      <c r="CX73" s="41"/>
      <c r="CY73" s="41"/>
      <c r="CZ73" s="41"/>
      <c r="DA73" s="41"/>
      <c r="DB73" s="41"/>
      <c r="DC73" s="41"/>
      <c r="DD73" s="41"/>
      <c r="DE73" s="41"/>
      <c r="DF73" s="41"/>
      <c r="DG73" s="41"/>
      <c r="DH73" s="41"/>
      <c r="DI73" s="41"/>
      <c r="DJ73" s="41"/>
      <c r="DK73" s="41"/>
      <c r="DL73" s="41"/>
      <c r="DM73" s="41"/>
      <c r="DN73" s="41"/>
      <c r="DO73" s="41"/>
      <c r="DP73" s="41"/>
      <c r="DQ73" s="41"/>
      <c r="DR73" s="41"/>
      <c r="DS73" s="41"/>
      <c r="DT73" s="41"/>
      <c r="DU73" s="41"/>
      <c r="DV73" s="41"/>
      <c r="DW73" s="41"/>
      <c r="DX73" s="41"/>
      <c r="DY73" s="41"/>
      <c r="DZ73" s="41"/>
      <c r="EA73" s="41"/>
      <c r="EB73" s="41"/>
      <c r="EC73" s="41"/>
      <c r="ED73" s="41"/>
      <c r="EE73" s="41"/>
      <c r="EF73" s="41"/>
      <c r="EG73" s="41"/>
      <c r="EH73" s="41"/>
      <c r="EI73" s="41"/>
      <c r="EJ73" s="41"/>
      <c r="EK73" s="41"/>
      <c r="EL73" s="41"/>
      <c r="EM73" s="41"/>
      <c r="EN73" s="41"/>
      <c r="EO73" s="41"/>
      <c r="EP73" s="41"/>
      <c r="EQ73" s="41"/>
      <c r="ER73" s="41"/>
      <c r="ES73" s="41"/>
      <c r="ET73" s="41"/>
      <c r="EU73" s="41"/>
      <c r="EV73" s="41"/>
      <c r="EW73" s="41"/>
      <c r="EX73" s="41"/>
      <c r="EY73" s="41"/>
      <c r="EZ73" s="41"/>
      <c r="FA73" s="41"/>
      <c r="FB73" s="41"/>
      <c r="FC73" s="41"/>
      <c r="FD73" s="41"/>
      <c r="FE73" s="41"/>
      <c r="FF73" s="41"/>
      <c r="FG73" s="41"/>
      <c r="FH73" s="41"/>
      <c r="FI73" s="41"/>
      <c r="FJ73" s="41"/>
      <c r="FK73" s="41"/>
      <c r="FL73" s="41"/>
      <c r="FM73" s="41"/>
      <c r="FN73" s="41"/>
      <c r="FO73" s="41"/>
      <c r="FP73" s="41"/>
      <c r="FQ73" s="41"/>
      <c r="FR73" s="41"/>
      <c r="FS73" s="41"/>
      <c r="FT73" s="41"/>
      <c r="FU73" s="41"/>
      <c r="FV73" s="41"/>
      <c r="FW73" s="41"/>
      <c r="FX73" s="41"/>
      <c r="FY73" s="41"/>
      <c r="FZ73" s="41"/>
      <c r="GA73" s="41"/>
      <c r="GB73" s="41"/>
      <c r="GC73" s="41"/>
      <c r="GD73" s="41"/>
      <c r="GE73" s="41"/>
      <c r="GF73" s="41"/>
      <c r="GG73" s="41"/>
      <c r="GH73" s="41"/>
      <c r="GI73" s="41"/>
      <c r="GJ73" s="41"/>
      <c r="GK73" s="41"/>
      <c r="GL73" s="41"/>
      <c r="GM73" s="41"/>
      <c r="GN73" s="41"/>
    </row>
    <row r="74" spans="1:196" ht="19.2" x14ac:dyDescent="0.4">
      <c r="A74" s="57">
        <v>67</v>
      </c>
      <c r="B74" s="88">
        <f>사원명부!B74</f>
        <v>0</v>
      </c>
      <c r="C74" s="89">
        <f>사원명부!D74</f>
        <v>0</v>
      </c>
      <c r="D74" s="90" t="str">
        <f>IF(B74=0,"-",사원명부!E74)</f>
        <v>-</v>
      </c>
      <c r="E74" s="91" t="str">
        <f t="shared" si="7"/>
        <v>-</v>
      </c>
      <c r="F74" s="68"/>
      <c r="G74" s="69"/>
      <c r="H74" s="102">
        <f t="shared" si="8"/>
        <v>0</v>
      </c>
      <c r="I74" s="103">
        <f t="shared" si="9"/>
        <v>0</v>
      </c>
      <c r="J74" s="104">
        <f t="shared" si="10"/>
        <v>0</v>
      </c>
      <c r="K74" s="70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2"/>
      <c r="W74" s="110">
        <f t="shared" si="11"/>
        <v>0</v>
      </c>
      <c r="X74" s="114"/>
      <c r="Y74" s="73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1"/>
      <c r="CK74" s="41"/>
      <c r="CL74" s="41"/>
      <c r="CM74" s="41"/>
      <c r="CN74" s="41"/>
      <c r="CO74" s="41"/>
      <c r="CP74" s="41"/>
      <c r="CQ74" s="41"/>
      <c r="CR74" s="41"/>
      <c r="CS74" s="41"/>
      <c r="CT74" s="41"/>
      <c r="CU74" s="41"/>
      <c r="CV74" s="41"/>
      <c r="CW74" s="41"/>
      <c r="CX74" s="41"/>
      <c r="CY74" s="41"/>
      <c r="CZ74" s="41"/>
      <c r="DA74" s="41"/>
      <c r="DB74" s="41"/>
      <c r="DC74" s="41"/>
      <c r="DD74" s="41"/>
      <c r="DE74" s="41"/>
      <c r="DF74" s="41"/>
      <c r="DG74" s="41"/>
      <c r="DH74" s="41"/>
      <c r="DI74" s="41"/>
      <c r="DJ74" s="41"/>
      <c r="DK74" s="41"/>
      <c r="DL74" s="41"/>
      <c r="DM74" s="41"/>
      <c r="DN74" s="41"/>
      <c r="DO74" s="41"/>
      <c r="DP74" s="41"/>
      <c r="DQ74" s="41"/>
      <c r="DR74" s="41"/>
      <c r="DS74" s="41"/>
      <c r="DT74" s="41"/>
      <c r="DU74" s="41"/>
      <c r="DV74" s="41"/>
      <c r="DW74" s="41"/>
      <c r="DX74" s="41"/>
      <c r="DY74" s="41"/>
      <c r="DZ74" s="41"/>
      <c r="EA74" s="41"/>
      <c r="EB74" s="41"/>
      <c r="EC74" s="41"/>
      <c r="ED74" s="41"/>
      <c r="EE74" s="41"/>
      <c r="EF74" s="41"/>
      <c r="EG74" s="41"/>
      <c r="EH74" s="41"/>
      <c r="EI74" s="41"/>
      <c r="EJ74" s="41"/>
      <c r="EK74" s="41"/>
      <c r="EL74" s="41"/>
      <c r="EM74" s="41"/>
      <c r="EN74" s="41"/>
      <c r="EO74" s="41"/>
      <c r="EP74" s="41"/>
      <c r="EQ74" s="41"/>
      <c r="ER74" s="41"/>
      <c r="ES74" s="41"/>
      <c r="ET74" s="41"/>
      <c r="EU74" s="41"/>
      <c r="EV74" s="41"/>
      <c r="EW74" s="41"/>
      <c r="EX74" s="41"/>
      <c r="EY74" s="41"/>
      <c r="EZ74" s="41"/>
      <c r="FA74" s="41"/>
      <c r="FB74" s="41"/>
      <c r="FC74" s="41"/>
      <c r="FD74" s="41"/>
      <c r="FE74" s="41"/>
      <c r="FF74" s="41"/>
      <c r="FG74" s="41"/>
      <c r="FH74" s="41"/>
      <c r="FI74" s="41"/>
      <c r="FJ74" s="41"/>
      <c r="FK74" s="41"/>
      <c r="FL74" s="41"/>
      <c r="FM74" s="41"/>
      <c r="FN74" s="41"/>
      <c r="FO74" s="41"/>
      <c r="FP74" s="41"/>
      <c r="FQ74" s="41"/>
      <c r="FR74" s="41"/>
      <c r="FS74" s="41"/>
      <c r="FT74" s="41"/>
      <c r="FU74" s="41"/>
      <c r="FV74" s="41"/>
      <c r="FW74" s="41"/>
      <c r="FX74" s="41"/>
      <c r="FY74" s="41"/>
      <c r="FZ74" s="41"/>
      <c r="GA74" s="41"/>
      <c r="GB74" s="41"/>
      <c r="GC74" s="41"/>
      <c r="GD74" s="41"/>
      <c r="GE74" s="41"/>
      <c r="GF74" s="41"/>
      <c r="GG74" s="41"/>
      <c r="GH74" s="41"/>
      <c r="GI74" s="41"/>
      <c r="GJ74" s="41"/>
      <c r="GK74" s="41"/>
      <c r="GL74" s="41"/>
      <c r="GM74" s="41"/>
      <c r="GN74" s="41"/>
    </row>
    <row r="75" spans="1:196" ht="19.2" x14ac:dyDescent="0.4">
      <c r="A75" s="57">
        <v>68</v>
      </c>
      <c r="B75" s="88">
        <f>사원명부!B75</f>
        <v>0</v>
      </c>
      <c r="C75" s="89">
        <f>사원명부!D75</f>
        <v>0</v>
      </c>
      <c r="D75" s="90" t="str">
        <f>IF(B75=0,"-",사원명부!E75)</f>
        <v>-</v>
      </c>
      <c r="E75" s="91" t="str">
        <f t="shared" si="7"/>
        <v>-</v>
      </c>
      <c r="F75" s="68"/>
      <c r="G75" s="69"/>
      <c r="H75" s="102">
        <f t="shared" si="8"/>
        <v>0</v>
      </c>
      <c r="I75" s="103">
        <f t="shared" si="9"/>
        <v>0</v>
      </c>
      <c r="J75" s="104">
        <f t="shared" si="10"/>
        <v>0</v>
      </c>
      <c r="K75" s="70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2"/>
      <c r="W75" s="110">
        <f t="shared" si="11"/>
        <v>0</v>
      </c>
      <c r="X75" s="114"/>
      <c r="Y75" s="73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  <c r="CL75" s="41"/>
      <c r="CM75" s="41"/>
      <c r="CN75" s="41"/>
      <c r="CO75" s="41"/>
      <c r="CP75" s="41"/>
      <c r="CQ75" s="41"/>
      <c r="CR75" s="41"/>
      <c r="CS75" s="41"/>
      <c r="CT75" s="41"/>
      <c r="CU75" s="41"/>
      <c r="CV75" s="41"/>
      <c r="CW75" s="41"/>
      <c r="CX75" s="41"/>
      <c r="CY75" s="41"/>
      <c r="CZ75" s="41"/>
      <c r="DA75" s="41"/>
      <c r="DB75" s="41"/>
      <c r="DC75" s="41"/>
      <c r="DD75" s="41"/>
      <c r="DE75" s="41"/>
      <c r="DF75" s="41"/>
      <c r="DG75" s="41"/>
      <c r="DH75" s="41"/>
      <c r="DI75" s="41"/>
      <c r="DJ75" s="41"/>
      <c r="DK75" s="41"/>
      <c r="DL75" s="41"/>
      <c r="DM75" s="41"/>
      <c r="DN75" s="41"/>
      <c r="DO75" s="41"/>
      <c r="DP75" s="41"/>
      <c r="DQ75" s="41"/>
      <c r="DR75" s="41"/>
      <c r="DS75" s="41"/>
      <c r="DT75" s="41"/>
      <c r="DU75" s="41"/>
      <c r="DV75" s="41"/>
      <c r="DW75" s="41"/>
      <c r="DX75" s="41"/>
      <c r="DY75" s="41"/>
      <c r="DZ75" s="41"/>
      <c r="EA75" s="41"/>
      <c r="EB75" s="41"/>
      <c r="EC75" s="41"/>
      <c r="ED75" s="41"/>
      <c r="EE75" s="41"/>
      <c r="EF75" s="41"/>
      <c r="EG75" s="41"/>
      <c r="EH75" s="41"/>
      <c r="EI75" s="41"/>
      <c r="EJ75" s="41"/>
      <c r="EK75" s="41"/>
      <c r="EL75" s="41"/>
      <c r="EM75" s="41"/>
      <c r="EN75" s="41"/>
      <c r="EO75" s="41"/>
      <c r="EP75" s="41"/>
      <c r="EQ75" s="41"/>
      <c r="ER75" s="41"/>
      <c r="ES75" s="41"/>
      <c r="ET75" s="41"/>
      <c r="EU75" s="41"/>
      <c r="EV75" s="41"/>
      <c r="EW75" s="41"/>
      <c r="EX75" s="41"/>
      <c r="EY75" s="41"/>
      <c r="EZ75" s="41"/>
      <c r="FA75" s="41"/>
      <c r="FB75" s="41"/>
      <c r="FC75" s="41"/>
      <c r="FD75" s="41"/>
      <c r="FE75" s="41"/>
      <c r="FF75" s="41"/>
      <c r="FG75" s="41"/>
      <c r="FH75" s="41"/>
      <c r="FI75" s="41"/>
      <c r="FJ75" s="41"/>
      <c r="FK75" s="41"/>
      <c r="FL75" s="41"/>
      <c r="FM75" s="41"/>
      <c r="FN75" s="41"/>
      <c r="FO75" s="41"/>
      <c r="FP75" s="41"/>
      <c r="FQ75" s="41"/>
      <c r="FR75" s="41"/>
      <c r="FS75" s="41"/>
      <c r="FT75" s="41"/>
      <c r="FU75" s="41"/>
      <c r="FV75" s="41"/>
      <c r="FW75" s="41"/>
      <c r="FX75" s="41"/>
      <c r="FY75" s="41"/>
      <c r="FZ75" s="41"/>
      <c r="GA75" s="41"/>
      <c r="GB75" s="41"/>
      <c r="GC75" s="41"/>
      <c r="GD75" s="41"/>
      <c r="GE75" s="41"/>
      <c r="GF75" s="41"/>
      <c r="GG75" s="41"/>
      <c r="GH75" s="41"/>
      <c r="GI75" s="41"/>
      <c r="GJ75" s="41"/>
      <c r="GK75" s="41"/>
      <c r="GL75" s="41"/>
      <c r="GM75" s="41"/>
      <c r="GN75" s="41"/>
    </row>
    <row r="76" spans="1:196" ht="19.2" x14ac:dyDescent="0.4">
      <c r="A76" s="57">
        <v>69</v>
      </c>
      <c r="B76" s="88">
        <f>사원명부!B76</f>
        <v>0</v>
      </c>
      <c r="C76" s="89">
        <f>사원명부!D76</f>
        <v>0</v>
      </c>
      <c r="D76" s="90" t="str">
        <f>IF(B76=0,"-",사원명부!E76)</f>
        <v>-</v>
      </c>
      <c r="E76" s="91" t="str">
        <f t="shared" si="7"/>
        <v>-</v>
      </c>
      <c r="F76" s="68"/>
      <c r="G76" s="69"/>
      <c r="H76" s="102">
        <f t="shared" si="8"/>
        <v>0</v>
      </c>
      <c r="I76" s="103">
        <f t="shared" si="9"/>
        <v>0</v>
      </c>
      <c r="J76" s="104">
        <f t="shared" si="10"/>
        <v>0</v>
      </c>
      <c r="K76" s="70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2"/>
      <c r="W76" s="110">
        <f t="shared" si="11"/>
        <v>0</v>
      </c>
      <c r="X76" s="114"/>
      <c r="Y76" s="73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  <c r="CN76" s="41"/>
      <c r="CO76" s="41"/>
      <c r="CP76" s="41"/>
      <c r="CQ76" s="41"/>
      <c r="CR76" s="41"/>
      <c r="CS76" s="41"/>
      <c r="CT76" s="41"/>
      <c r="CU76" s="41"/>
      <c r="CV76" s="41"/>
      <c r="CW76" s="41"/>
      <c r="CX76" s="41"/>
      <c r="CY76" s="41"/>
      <c r="CZ76" s="41"/>
      <c r="DA76" s="41"/>
      <c r="DB76" s="41"/>
      <c r="DC76" s="41"/>
      <c r="DD76" s="41"/>
      <c r="DE76" s="41"/>
      <c r="DF76" s="41"/>
      <c r="DG76" s="41"/>
      <c r="DH76" s="41"/>
      <c r="DI76" s="41"/>
      <c r="DJ76" s="41"/>
      <c r="DK76" s="41"/>
      <c r="DL76" s="41"/>
      <c r="DM76" s="41"/>
      <c r="DN76" s="41"/>
      <c r="DO76" s="41"/>
      <c r="DP76" s="41"/>
      <c r="DQ76" s="41"/>
      <c r="DR76" s="41"/>
      <c r="DS76" s="41"/>
      <c r="DT76" s="41"/>
      <c r="DU76" s="41"/>
      <c r="DV76" s="41"/>
      <c r="DW76" s="41"/>
      <c r="DX76" s="41"/>
      <c r="DY76" s="41"/>
      <c r="DZ76" s="41"/>
      <c r="EA76" s="41"/>
      <c r="EB76" s="41"/>
      <c r="EC76" s="41"/>
      <c r="ED76" s="41"/>
      <c r="EE76" s="41"/>
      <c r="EF76" s="41"/>
      <c r="EG76" s="41"/>
      <c r="EH76" s="41"/>
      <c r="EI76" s="41"/>
      <c r="EJ76" s="41"/>
      <c r="EK76" s="41"/>
      <c r="EL76" s="41"/>
      <c r="EM76" s="41"/>
      <c r="EN76" s="41"/>
      <c r="EO76" s="41"/>
      <c r="EP76" s="41"/>
      <c r="EQ76" s="41"/>
      <c r="ER76" s="41"/>
      <c r="ES76" s="41"/>
      <c r="ET76" s="41"/>
      <c r="EU76" s="41"/>
      <c r="EV76" s="41"/>
      <c r="EW76" s="41"/>
      <c r="EX76" s="41"/>
      <c r="EY76" s="41"/>
      <c r="EZ76" s="41"/>
      <c r="FA76" s="41"/>
      <c r="FB76" s="41"/>
      <c r="FC76" s="41"/>
      <c r="FD76" s="41"/>
      <c r="FE76" s="41"/>
      <c r="FF76" s="41"/>
      <c r="FG76" s="41"/>
      <c r="FH76" s="41"/>
      <c r="FI76" s="41"/>
      <c r="FJ76" s="41"/>
      <c r="FK76" s="41"/>
      <c r="FL76" s="41"/>
      <c r="FM76" s="41"/>
      <c r="FN76" s="41"/>
      <c r="FO76" s="41"/>
      <c r="FP76" s="41"/>
      <c r="FQ76" s="41"/>
      <c r="FR76" s="41"/>
      <c r="FS76" s="41"/>
      <c r="FT76" s="41"/>
      <c r="FU76" s="41"/>
      <c r="FV76" s="41"/>
      <c r="FW76" s="41"/>
      <c r="FX76" s="41"/>
      <c r="FY76" s="41"/>
      <c r="FZ76" s="41"/>
      <c r="GA76" s="41"/>
      <c r="GB76" s="41"/>
      <c r="GC76" s="41"/>
      <c r="GD76" s="41"/>
      <c r="GE76" s="41"/>
      <c r="GF76" s="41"/>
      <c r="GG76" s="41"/>
      <c r="GH76" s="41"/>
      <c r="GI76" s="41"/>
      <c r="GJ76" s="41"/>
      <c r="GK76" s="41"/>
      <c r="GL76" s="41"/>
      <c r="GM76" s="41"/>
      <c r="GN76" s="41"/>
    </row>
    <row r="77" spans="1:196" ht="19.2" x14ac:dyDescent="0.4">
      <c r="A77" s="57">
        <v>70</v>
      </c>
      <c r="B77" s="88">
        <f>사원명부!B77</f>
        <v>0</v>
      </c>
      <c r="C77" s="89">
        <f>사원명부!D77</f>
        <v>0</v>
      </c>
      <c r="D77" s="90" t="str">
        <f>IF(B77=0,"-",사원명부!E77)</f>
        <v>-</v>
      </c>
      <c r="E77" s="91" t="str">
        <f t="shared" si="7"/>
        <v>-</v>
      </c>
      <c r="F77" s="68"/>
      <c r="G77" s="69"/>
      <c r="H77" s="102">
        <f t="shared" si="8"/>
        <v>0</v>
      </c>
      <c r="I77" s="103">
        <f t="shared" si="9"/>
        <v>0</v>
      </c>
      <c r="J77" s="104">
        <f t="shared" si="10"/>
        <v>0</v>
      </c>
      <c r="K77" s="70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2"/>
      <c r="W77" s="110">
        <f t="shared" si="11"/>
        <v>0</v>
      </c>
      <c r="X77" s="114"/>
      <c r="Y77" s="73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  <c r="CG77" s="41"/>
      <c r="CH77" s="41"/>
      <c r="CI77" s="41"/>
      <c r="CJ77" s="41"/>
      <c r="CK77" s="41"/>
      <c r="CL77" s="41"/>
      <c r="CM77" s="41"/>
      <c r="CN77" s="41"/>
      <c r="CO77" s="41"/>
      <c r="CP77" s="41"/>
      <c r="CQ77" s="41"/>
      <c r="CR77" s="41"/>
      <c r="CS77" s="41"/>
      <c r="CT77" s="41"/>
      <c r="CU77" s="41"/>
      <c r="CV77" s="41"/>
      <c r="CW77" s="41"/>
      <c r="CX77" s="41"/>
      <c r="CY77" s="41"/>
      <c r="CZ77" s="41"/>
      <c r="DA77" s="41"/>
      <c r="DB77" s="41"/>
      <c r="DC77" s="41"/>
      <c r="DD77" s="41"/>
      <c r="DE77" s="41"/>
      <c r="DF77" s="41"/>
      <c r="DG77" s="41"/>
      <c r="DH77" s="41"/>
      <c r="DI77" s="41"/>
      <c r="DJ77" s="41"/>
      <c r="DK77" s="41"/>
      <c r="DL77" s="41"/>
      <c r="DM77" s="41"/>
      <c r="DN77" s="41"/>
      <c r="DO77" s="41"/>
      <c r="DP77" s="41"/>
      <c r="DQ77" s="41"/>
      <c r="DR77" s="41"/>
      <c r="DS77" s="41"/>
      <c r="DT77" s="41"/>
      <c r="DU77" s="41"/>
      <c r="DV77" s="41"/>
      <c r="DW77" s="41"/>
      <c r="DX77" s="41"/>
      <c r="DY77" s="41"/>
      <c r="DZ77" s="41"/>
      <c r="EA77" s="41"/>
      <c r="EB77" s="41"/>
      <c r="EC77" s="41"/>
      <c r="ED77" s="41"/>
      <c r="EE77" s="41"/>
      <c r="EF77" s="41"/>
      <c r="EG77" s="41"/>
      <c r="EH77" s="41"/>
      <c r="EI77" s="41"/>
      <c r="EJ77" s="41"/>
      <c r="EK77" s="41"/>
      <c r="EL77" s="41"/>
      <c r="EM77" s="41"/>
      <c r="EN77" s="41"/>
      <c r="EO77" s="41"/>
      <c r="EP77" s="41"/>
      <c r="EQ77" s="41"/>
      <c r="ER77" s="41"/>
      <c r="ES77" s="41"/>
      <c r="ET77" s="41"/>
      <c r="EU77" s="41"/>
      <c r="EV77" s="41"/>
      <c r="EW77" s="41"/>
      <c r="EX77" s="41"/>
      <c r="EY77" s="41"/>
      <c r="EZ77" s="41"/>
      <c r="FA77" s="41"/>
      <c r="FB77" s="41"/>
      <c r="FC77" s="41"/>
      <c r="FD77" s="41"/>
      <c r="FE77" s="41"/>
      <c r="FF77" s="41"/>
      <c r="FG77" s="41"/>
      <c r="FH77" s="41"/>
      <c r="FI77" s="41"/>
      <c r="FJ77" s="41"/>
      <c r="FK77" s="41"/>
      <c r="FL77" s="41"/>
      <c r="FM77" s="41"/>
      <c r="FN77" s="41"/>
      <c r="FO77" s="41"/>
      <c r="FP77" s="41"/>
      <c r="FQ77" s="41"/>
      <c r="FR77" s="41"/>
      <c r="FS77" s="41"/>
      <c r="FT77" s="41"/>
      <c r="FU77" s="41"/>
      <c r="FV77" s="41"/>
      <c r="FW77" s="41"/>
      <c r="FX77" s="41"/>
      <c r="FY77" s="41"/>
      <c r="FZ77" s="41"/>
      <c r="GA77" s="41"/>
      <c r="GB77" s="41"/>
      <c r="GC77" s="41"/>
      <c r="GD77" s="41"/>
      <c r="GE77" s="41"/>
      <c r="GF77" s="41"/>
      <c r="GG77" s="41"/>
      <c r="GH77" s="41"/>
      <c r="GI77" s="41"/>
      <c r="GJ77" s="41"/>
      <c r="GK77" s="41"/>
      <c r="GL77" s="41"/>
      <c r="GM77" s="41"/>
      <c r="GN77" s="41"/>
    </row>
    <row r="78" spans="1:196" ht="19.2" x14ac:dyDescent="0.4">
      <c r="A78" s="57">
        <v>71</v>
      </c>
      <c r="B78" s="88">
        <f>사원명부!B78</f>
        <v>0</v>
      </c>
      <c r="C78" s="89">
        <f>사원명부!D78</f>
        <v>0</v>
      </c>
      <c r="D78" s="90" t="str">
        <f>IF(B78=0,"-",사원명부!E78)</f>
        <v>-</v>
      </c>
      <c r="E78" s="91" t="str">
        <f t="shared" si="7"/>
        <v>-</v>
      </c>
      <c r="F78" s="68"/>
      <c r="G78" s="69"/>
      <c r="H78" s="102">
        <f t="shared" si="8"/>
        <v>0</v>
      </c>
      <c r="I78" s="103">
        <f t="shared" si="9"/>
        <v>0</v>
      </c>
      <c r="J78" s="104">
        <f t="shared" si="10"/>
        <v>0</v>
      </c>
      <c r="K78" s="70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2"/>
      <c r="W78" s="110">
        <f t="shared" si="11"/>
        <v>0</v>
      </c>
      <c r="X78" s="114"/>
      <c r="Y78" s="73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  <c r="CG78" s="41"/>
      <c r="CH78" s="41"/>
      <c r="CI78" s="41"/>
      <c r="CJ78" s="41"/>
      <c r="CK78" s="41"/>
      <c r="CL78" s="41"/>
      <c r="CM78" s="41"/>
      <c r="CN78" s="41"/>
      <c r="CO78" s="41"/>
      <c r="CP78" s="41"/>
      <c r="CQ78" s="41"/>
      <c r="CR78" s="41"/>
      <c r="CS78" s="41"/>
      <c r="CT78" s="41"/>
      <c r="CU78" s="41"/>
      <c r="CV78" s="41"/>
      <c r="CW78" s="41"/>
      <c r="CX78" s="41"/>
      <c r="CY78" s="41"/>
      <c r="CZ78" s="41"/>
      <c r="DA78" s="41"/>
      <c r="DB78" s="41"/>
      <c r="DC78" s="41"/>
      <c r="DD78" s="41"/>
      <c r="DE78" s="41"/>
      <c r="DF78" s="41"/>
      <c r="DG78" s="41"/>
      <c r="DH78" s="41"/>
      <c r="DI78" s="41"/>
      <c r="DJ78" s="41"/>
      <c r="DK78" s="41"/>
      <c r="DL78" s="41"/>
      <c r="DM78" s="41"/>
      <c r="DN78" s="41"/>
      <c r="DO78" s="41"/>
      <c r="DP78" s="41"/>
      <c r="DQ78" s="41"/>
      <c r="DR78" s="41"/>
      <c r="DS78" s="41"/>
      <c r="DT78" s="41"/>
      <c r="DU78" s="41"/>
      <c r="DV78" s="41"/>
      <c r="DW78" s="41"/>
      <c r="DX78" s="41"/>
      <c r="DY78" s="41"/>
      <c r="DZ78" s="41"/>
      <c r="EA78" s="41"/>
      <c r="EB78" s="41"/>
      <c r="EC78" s="41"/>
      <c r="ED78" s="41"/>
      <c r="EE78" s="41"/>
      <c r="EF78" s="41"/>
      <c r="EG78" s="41"/>
      <c r="EH78" s="41"/>
      <c r="EI78" s="41"/>
      <c r="EJ78" s="41"/>
      <c r="EK78" s="41"/>
      <c r="EL78" s="41"/>
      <c r="EM78" s="41"/>
      <c r="EN78" s="41"/>
      <c r="EO78" s="41"/>
      <c r="EP78" s="41"/>
      <c r="EQ78" s="41"/>
      <c r="ER78" s="41"/>
      <c r="ES78" s="41"/>
      <c r="ET78" s="41"/>
      <c r="EU78" s="41"/>
      <c r="EV78" s="41"/>
      <c r="EW78" s="41"/>
      <c r="EX78" s="41"/>
      <c r="EY78" s="41"/>
      <c r="EZ78" s="41"/>
      <c r="FA78" s="41"/>
      <c r="FB78" s="41"/>
      <c r="FC78" s="41"/>
      <c r="FD78" s="41"/>
      <c r="FE78" s="41"/>
      <c r="FF78" s="41"/>
      <c r="FG78" s="41"/>
      <c r="FH78" s="41"/>
      <c r="FI78" s="41"/>
      <c r="FJ78" s="41"/>
      <c r="FK78" s="41"/>
      <c r="FL78" s="41"/>
      <c r="FM78" s="41"/>
      <c r="FN78" s="41"/>
      <c r="FO78" s="41"/>
      <c r="FP78" s="41"/>
      <c r="FQ78" s="41"/>
      <c r="FR78" s="41"/>
      <c r="FS78" s="41"/>
      <c r="FT78" s="41"/>
      <c r="FU78" s="41"/>
      <c r="FV78" s="41"/>
      <c r="FW78" s="41"/>
      <c r="FX78" s="41"/>
      <c r="FY78" s="41"/>
      <c r="FZ78" s="41"/>
      <c r="GA78" s="41"/>
      <c r="GB78" s="41"/>
      <c r="GC78" s="41"/>
      <c r="GD78" s="41"/>
      <c r="GE78" s="41"/>
      <c r="GF78" s="41"/>
      <c r="GG78" s="41"/>
      <c r="GH78" s="41"/>
      <c r="GI78" s="41"/>
      <c r="GJ78" s="41"/>
      <c r="GK78" s="41"/>
      <c r="GL78" s="41"/>
      <c r="GM78" s="41"/>
      <c r="GN78" s="41"/>
    </row>
    <row r="79" spans="1:196" ht="19.2" x14ac:dyDescent="0.4">
      <c r="A79" s="57">
        <v>72</v>
      </c>
      <c r="B79" s="88">
        <f>사원명부!B79</f>
        <v>0</v>
      </c>
      <c r="C79" s="89">
        <f>사원명부!D79</f>
        <v>0</v>
      </c>
      <c r="D79" s="90" t="str">
        <f>IF(B79=0,"-",사원명부!E79)</f>
        <v>-</v>
      </c>
      <c r="E79" s="91" t="str">
        <f t="shared" si="7"/>
        <v>-</v>
      </c>
      <c r="F79" s="68"/>
      <c r="G79" s="69"/>
      <c r="H79" s="102">
        <f t="shared" si="8"/>
        <v>0</v>
      </c>
      <c r="I79" s="103">
        <f t="shared" si="9"/>
        <v>0</v>
      </c>
      <c r="J79" s="104">
        <f t="shared" si="10"/>
        <v>0</v>
      </c>
      <c r="K79" s="70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2"/>
      <c r="W79" s="110">
        <f t="shared" si="11"/>
        <v>0</v>
      </c>
      <c r="X79" s="114"/>
      <c r="Y79" s="73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  <c r="CN79" s="41"/>
      <c r="CO79" s="41"/>
      <c r="CP79" s="41"/>
      <c r="CQ79" s="41"/>
      <c r="CR79" s="41"/>
      <c r="CS79" s="41"/>
      <c r="CT79" s="41"/>
      <c r="CU79" s="41"/>
      <c r="CV79" s="41"/>
      <c r="CW79" s="41"/>
      <c r="CX79" s="41"/>
      <c r="CY79" s="41"/>
      <c r="CZ79" s="41"/>
      <c r="DA79" s="41"/>
      <c r="DB79" s="41"/>
      <c r="DC79" s="41"/>
      <c r="DD79" s="41"/>
      <c r="DE79" s="41"/>
      <c r="DF79" s="41"/>
      <c r="DG79" s="41"/>
      <c r="DH79" s="41"/>
      <c r="DI79" s="41"/>
      <c r="DJ79" s="41"/>
      <c r="DK79" s="41"/>
      <c r="DL79" s="41"/>
      <c r="DM79" s="41"/>
      <c r="DN79" s="41"/>
      <c r="DO79" s="41"/>
      <c r="DP79" s="41"/>
      <c r="DQ79" s="41"/>
      <c r="DR79" s="41"/>
      <c r="DS79" s="41"/>
      <c r="DT79" s="41"/>
      <c r="DU79" s="41"/>
      <c r="DV79" s="41"/>
      <c r="DW79" s="41"/>
      <c r="DX79" s="41"/>
      <c r="DY79" s="41"/>
      <c r="DZ79" s="41"/>
      <c r="EA79" s="41"/>
      <c r="EB79" s="41"/>
      <c r="EC79" s="41"/>
      <c r="ED79" s="41"/>
      <c r="EE79" s="41"/>
      <c r="EF79" s="41"/>
      <c r="EG79" s="41"/>
      <c r="EH79" s="41"/>
      <c r="EI79" s="41"/>
      <c r="EJ79" s="41"/>
      <c r="EK79" s="41"/>
      <c r="EL79" s="41"/>
      <c r="EM79" s="41"/>
      <c r="EN79" s="41"/>
      <c r="EO79" s="41"/>
      <c r="EP79" s="41"/>
      <c r="EQ79" s="41"/>
      <c r="ER79" s="41"/>
      <c r="ES79" s="41"/>
      <c r="ET79" s="41"/>
      <c r="EU79" s="41"/>
      <c r="EV79" s="41"/>
      <c r="EW79" s="41"/>
      <c r="EX79" s="41"/>
      <c r="EY79" s="41"/>
      <c r="EZ79" s="41"/>
      <c r="FA79" s="41"/>
      <c r="FB79" s="41"/>
      <c r="FC79" s="41"/>
      <c r="FD79" s="41"/>
      <c r="FE79" s="41"/>
      <c r="FF79" s="41"/>
      <c r="FG79" s="41"/>
      <c r="FH79" s="41"/>
      <c r="FI79" s="41"/>
      <c r="FJ79" s="41"/>
      <c r="FK79" s="41"/>
      <c r="FL79" s="41"/>
      <c r="FM79" s="41"/>
      <c r="FN79" s="41"/>
      <c r="FO79" s="41"/>
      <c r="FP79" s="41"/>
      <c r="FQ79" s="41"/>
      <c r="FR79" s="41"/>
      <c r="FS79" s="41"/>
      <c r="FT79" s="41"/>
      <c r="FU79" s="41"/>
      <c r="FV79" s="41"/>
      <c r="FW79" s="41"/>
      <c r="FX79" s="41"/>
      <c r="FY79" s="41"/>
      <c r="FZ79" s="41"/>
      <c r="GA79" s="41"/>
      <c r="GB79" s="41"/>
      <c r="GC79" s="41"/>
      <c r="GD79" s="41"/>
      <c r="GE79" s="41"/>
      <c r="GF79" s="41"/>
      <c r="GG79" s="41"/>
      <c r="GH79" s="41"/>
      <c r="GI79" s="41"/>
      <c r="GJ79" s="41"/>
      <c r="GK79" s="41"/>
      <c r="GL79" s="41"/>
      <c r="GM79" s="41"/>
      <c r="GN79" s="41"/>
    </row>
    <row r="80" spans="1:196" ht="19.2" x14ac:dyDescent="0.4">
      <c r="A80" s="57">
        <v>73</v>
      </c>
      <c r="B80" s="88">
        <f>사원명부!B80</f>
        <v>0</v>
      </c>
      <c r="C80" s="89">
        <f>사원명부!D80</f>
        <v>0</v>
      </c>
      <c r="D80" s="90" t="str">
        <f>IF(B80=0,"-",사원명부!E80)</f>
        <v>-</v>
      </c>
      <c r="E80" s="91" t="str">
        <f t="shared" si="7"/>
        <v>-</v>
      </c>
      <c r="F80" s="68"/>
      <c r="G80" s="69"/>
      <c r="H80" s="102">
        <f t="shared" si="8"/>
        <v>0</v>
      </c>
      <c r="I80" s="103">
        <f t="shared" si="9"/>
        <v>0</v>
      </c>
      <c r="J80" s="104">
        <f t="shared" si="10"/>
        <v>0</v>
      </c>
      <c r="K80" s="70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2"/>
      <c r="W80" s="110">
        <f t="shared" si="11"/>
        <v>0</v>
      </c>
      <c r="X80" s="114"/>
      <c r="Y80" s="73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  <c r="CN80" s="41"/>
      <c r="CO80" s="41"/>
      <c r="CP80" s="41"/>
      <c r="CQ80" s="41"/>
      <c r="CR80" s="41"/>
      <c r="CS80" s="41"/>
      <c r="CT80" s="41"/>
      <c r="CU80" s="41"/>
      <c r="CV80" s="41"/>
      <c r="CW80" s="41"/>
      <c r="CX80" s="41"/>
      <c r="CY80" s="41"/>
      <c r="CZ80" s="41"/>
      <c r="DA80" s="41"/>
      <c r="DB80" s="41"/>
      <c r="DC80" s="41"/>
      <c r="DD80" s="41"/>
      <c r="DE80" s="41"/>
      <c r="DF80" s="41"/>
      <c r="DG80" s="41"/>
      <c r="DH80" s="41"/>
      <c r="DI80" s="41"/>
      <c r="DJ80" s="41"/>
      <c r="DK80" s="41"/>
      <c r="DL80" s="41"/>
      <c r="DM80" s="41"/>
      <c r="DN80" s="41"/>
      <c r="DO80" s="41"/>
      <c r="DP80" s="41"/>
      <c r="DQ80" s="41"/>
      <c r="DR80" s="41"/>
      <c r="DS80" s="41"/>
      <c r="DT80" s="41"/>
      <c r="DU80" s="41"/>
      <c r="DV80" s="41"/>
      <c r="DW80" s="41"/>
      <c r="DX80" s="41"/>
      <c r="DY80" s="41"/>
      <c r="DZ80" s="41"/>
      <c r="EA80" s="41"/>
      <c r="EB80" s="41"/>
      <c r="EC80" s="41"/>
      <c r="ED80" s="41"/>
      <c r="EE80" s="41"/>
      <c r="EF80" s="41"/>
      <c r="EG80" s="41"/>
      <c r="EH80" s="41"/>
      <c r="EI80" s="41"/>
      <c r="EJ80" s="41"/>
      <c r="EK80" s="41"/>
      <c r="EL80" s="41"/>
      <c r="EM80" s="41"/>
      <c r="EN80" s="41"/>
      <c r="EO80" s="41"/>
      <c r="EP80" s="41"/>
      <c r="EQ80" s="41"/>
      <c r="ER80" s="41"/>
      <c r="ES80" s="41"/>
      <c r="ET80" s="41"/>
      <c r="EU80" s="41"/>
      <c r="EV80" s="41"/>
      <c r="EW80" s="41"/>
      <c r="EX80" s="41"/>
      <c r="EY80" s="41"/>
      <c r="EZ80" s="41"/>
      <c r="FA80" s="41"/>
      <c r="FB80" s="41"/>
      <c r="FC80" s="41"/>
      <c r="FD80" s="41"/>
      <c r="FE80" s="41"/>
      <c r="FF80" s="41"/>
      <c r="FG80" s="41"/>
      <c r="FH80" s="41"/>
      <c r="FI80" s="41"/>
      <c r="FJ80" s="41"/>
      <c r="FK80" s="41"/>
      <c r="FL80" s="41"/>
      <c r="FM80" s="41"/>
      <c r="FN80" s="41"/>
      <c r="FO80" s="41"/>
      <c r="FP80" s="41"/>
      <c r="FQ80" s="41"/>
      <c r="FR80" s="41"/>
      <c r="FS80" s="41"/>
      <c r="FT80" s="41"/>
      <c r="FU80" s="41"/>
      <c r="FV80" s="41"/>
      <c r="FW80" s="41"/>
      <c r="FX80" s="41"/>
      <c r="FY80" s="41"/>
      <c r="FZ80" s="41"/>
      <c r="GA80" s="41"/>
      <c r="GB80" s="41"/>
      <c r="GC80" s="41"/>
      <c r="GD80" s="41"/>
      <c r="GE80" s="41"/>
      <c r="GF80" s="41"/>
      <c r="GG80" s="41"/>
      <c r="GH80" s="41"/>
      <c r="GI80" s="41"/>
      <c r="GJ80" s="41"/>
      <c r="GK80" s="41"/>
      <c r="GL80" s="41"/>
      <c r="GM80" s="41"/>
      <c r="GN80" s="41"/>
    </row>
    <row r="81" spans="1:196" ht="19.2" x14ac:dyDescent="0.4">
      <c r="A81" s="57">
        <v>74</v>
      </c>
      <c r="B81" s="88">
        <f>사원명부!B81</f>
        <v>0</v>
      </c>
      <c r="C81" s="89">
        <f>사원명부!D81</f>
        <v>0</v>
      </c>
      <c r="D81" s="90" t="str">
        <f>IF(B81=0,"-",사원명부!E81)</f>
        <v>-</v>
      </c>
      <c r="E81" s="91" t="str">
        <f t="shared" si="7"/>
        <v>-</v>
      </c>
      <c r="F81" s="68"/>
      <c r="G81" s="69"/>
      <c r="H81" s="102">
        <f t="shared" si="8"/>
        <v>0</v>
      </c>
      <c r="I81" s="103">
        <f t="shared" si="9"/>
        <v>0</v>
      </c>
      <c r="J81" s="104">
        <f t="shared" si="10"/>
        <v>0</v>
      </c>
      <c r="K81" s="70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2"/>
      <c r="W81" s="110">
        <f t="shared" si="11"/>
        <v>0</v>
      </c>
      <c r="X81" s="114"/>
      <c r="Y81" s="73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  <c r="CG81" s="41"/>
      <c r="CH81" s="41"/>
      <c r="CI81" s="41"/>
      <c r="CJ81" s="41"/>
      <c r="CK81" s="41"/>
      <c r="CL81" s="41"/>
      <c r="CM81" s="41"/>
      <c r="CN81" s="41"/>
      <c r="CO81" s="41"/>
      <c r="CP81" s="41"/>
      <c r="CQ81" s="41"/>
      <c r="CR81" s="41"/>
      <c r="CS81" s="41"/>
      <c r="CT81" s="41"/>
      <c r="CU81" s="41"/>
      <c r="CV81" s="41"/>
      <c r="CW81" s="41"/>
      <c r="CX81" s="41"/>
      <c r="CY81" s="41"/>
      <c r="CZ81" s="41"/>
      <c r="DA81" s="41"/>
      <c r="DB81" s="41"/>
      <c r="DC81" s="41"/>
      <c r="DD81" s="41"/>
      <c r="DE81" s="41"/>
      <c r="DF81" s="41"/>
      <c r="DG81" s="41"/>
      <c r="DH81" s="41"/>
      <c r="DI81" s="41"/>
      <c r="DJ81" s="41"/>
      <c r="DK81" s="41"/>
      <c r="DL81" s="41"/>
      <c r="DM81" s="41"/>
      <c r="DN81" s="41"/>
      <c r="DO81" s="41"/>
      <c r="DP81" s="41"/>
      <c r="DQ81" s="41"/>
      <c r="DR81" s="41"/>
      <c r="DS81" s="41"/>
      <c r="DT81" s="41"/>
      <c r="DU81" s="41"/>
      <c r="DV81" s="41"/>
      <c r="DW81" s="41"/>
      <c r="DX81" s="41"/>
      <c r="DY81" s="41"/>
      <c r="DZ81" s="41"/>
      <c r="EA81" s="41"/>
      <c r="EB81" s="41"/>
      <c r="EC81" s="41"/>
      <c r="ED81" s="41"/>
      <c r="EE81" s="41"/>
      <c r="EF81" s="41"/>
      <c r="EG81" s="41"/>
      <c r="EH81" s="41"/>
      <c r="EI81" s="41"/>
      <c r="EJ81" s="41"/>
      <c r="EK81" s="41"/>
      <c r="EL81" s="41"/>
      <c r="EM81" s="41"/>
      <c r="EN81" s="41"/>
      <c r="EO81" s="41"/>
      <c r="EP81" s="41"/>
      <c r="EQ81" s="41"/>
      <c r="ER81" s="41"/>
      <c r="ES81" s="41"/>
      <c r="ET81" s="41"/>
      <c r="EU81" s="41"/>
      <c r="EV81" s="41"/>
      <c r="EW81" s="41"/>
      <c r="EX81" s="41"/>
      <c r="EY81" s="41"/>
      <c r="EZ81" s="41"/>
      <c r="FA81" s="41"/>
      <c r="FB81" s="41"/>
      <c r="FC81" s="41"/>
      <c r="FD81" s="41"/>
      <c r="FE81" s="41"/>
      <c r="FF81" s="41"/>
      <c r="FG81" s="41"/>
      <c r="FH81" s="41"/>
      <c r="FI81" s="41"/>
      <c r="FJ81" s="41"/>
      <c r="FK81" s="41"/>
      <c r="FL81" s="41"/>
      <c r="FM81" s="41"/>
      <c r="FN81" s="41"/>
      <c r="FO81" s="41"/>
      <c r="FP81" s="41"/>
      <c r="FQ81" s="41"/>
      <c r="FR81" s="41"/>
      <c r="FS81" s="41"/>
      <c r="FT81" s="41"/>
      <c r="FU81" s="41"/>
      <c r="FV81" s="41"/>
      <c r="FW81" s="41"/>
      <c r="FX81" s="41"/>
      <c r="FY81" s="41"/>
      <c r="FZ81" s="41"/>
      <c r="GA81" s="41"/>
      <c r="GB81" s="41"/>
      <c r="GC81" s="41"/>
      <c r="GD81" s="41"/>
      <c r="GE81" s="41"/>
      <c r="GF81" s="41"/>
      <c r="GG81" s="41"/>
      <c r="GH81" s="41"/>
      <c r="GI81" s="41"/>
      <c r="GJ81" s="41"/>
      <c r="GK81" s="41"/>
      <c r="GL81" s="41"/>
      <c r="GM81" s="41"/>
      <c r="GN81" s="41"/>
    </row>
    <row r="82" spans="1:196" ht="19.2" x14ac:dyDescent="0.4">
      <c r="A82" s="57">
        <v>75</v>
      </c>
      <c r="B82" s="88">
        <f>사원명부!B82</f>
        <v>0</v>
      </c>
      <c r="C82" s="89">
        <f>사원명부!D82</f>
        <v>0</v>
      </c>
      <c r="D82" s="90" t="str">
        <f>IF(B82=0,"-",사원명부!E82)</f>
        <v>-</v>
      </c>
      <c r="E82" s="91" t="str">
        <f t="shared" si="7"/>
        <v>-</v>
      </c>
      <c r="F82" s="68"/>
      <c r="G82" s="69"/>
      <c r="H82" s="102">
        <f t="shared" si="8"/>
        <v>0</v>
      </c>
      <c r="I82" s="103">
        <f t="shared" si="9"/>
        <v>0</v>
      </c>
      <c r="J82" s="104">
        <f t="shared" si="10"/>
        <v>0</v>
      </c>
      <c r="K82" s="70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2"/>
      <c r="W82" s="110">
        <f t="shared" si="11"/>
        <v>0</v>
      </c>
      <c r="X82" s="114"/>
      <c r="Y82" s="73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  <c r="CG82" s="41"/>
      <c r="CH82" s="41"/>
      <c r="CI82" s="41"/>
      <c r="CJ82" s="41"/>
      <c r="CK82" s="41"/>
      <c r="CL82" s="41"/>
      <c r="CM82" s="41"/>
      <c r="CN82" s="41"/>
      <c r="CO82" s="41"/>
      <c r="CP82" s="41"/>
      <c r="CQ82" s="41"/>
      <c r="CR82" s="41"/>
      <c r="CS82" s="41"/>
      <c r="CT82" s="41"/>
      <c r="CU82" s="41"/>
      <c r="CV82" s="41"/>
      <c r="CW82" s="41"/>
      <c r="CX82" s="41"/>
      <c r="CY82" s="41"/>
      <c r="CZ82" s="41"/>
      <c r="DA82" s="41"/>
      <c r="DB82" s="41"/>
      <c r="DC82" s="41"/>
      <c r="DD82" s="41"/>
      <c r="DE82" s="41"/>
      <c r="DF82" s="41"/>
      <c r="DG82" s="41"/>
      <c r="DH82" s="41"/>
      <c r="DI82" s="41"/>
      <c r="DJ82" s="41"/>
      <c r="DK82" s="41"/>
      <c r="DL82" s="41"/>
      <c r="DM82" s="41"/>
      <c r="DN82" s="41"/>
      <c r="DO82" s="41"/>
      <c r="DP82" s="41"/>
      <c r="DQ82" s="41"/>
      <c r="DR82" s="41"/>
      <c r="DS82" s="41"/>
      <c r="DT82" s="41"/>
      <c r="DU82" s="41"/>
      <c r="DV82" s="41"/>
      <c r="DW82" s="41"/>
      <c r="DX82" s="41"/>
      <c r="DY82" s="41"/>
      <c r="DZ82" s="41"/>
      <c r="EA82" s="41"/>
      <c r="EB82" s="41"/>
      <c r="EC82" s="41"/>
      <c r="ED82" s="41"/>
      <c r="EE82" s="41"/>
      <c r="EF82" s="41"/>
      <c r="EG82" s="41"/>
      <c r="EH82" s="41"/>
      <c r="EI82" s="41"/>
      <c r="EJ82" s="41"/>
      <c r="EK82" s="41"/>
      <c r="EL82" s="41"/>
      <c r="EM82" s="41"/>
      <c r="EN82" s="41"/>
      <c r="EO82" s="41"/>
      <c r="EP82" s="41"/>
      <c r="EQ82" s="41"/>
      <c r="ER82" s="41"/>
      <c r="ES82" s="41"/>
      <c r="ET82" s="41"/>
      <c r="EU82" s="41"/>
      <c r="EV82" s="41"/>
      <c r="EW82" s="41"/>
      <c r="EX82" s="41"/>
      <c r="EY82" s="41"/>
      <c r="EZ82" s="41"/>
      <c r="FA82" s="41"/>
      <c r="FB82" s="41"/>
      <c r="FC82" s="41"/>
      <c r="FD82" s="41"/>
      <c r="FE82" s="41"/>
      <c r="FF82" s="41"/>
      <c r="FG82" s="41"/>
      <c r="FH82" s="41"/>
      <c r="FI82" s="41"/>
      <c r="FJ82" s="41"/>
      <c r="FK82" s="41"/>
      <c r="FL82" s="41"/>
      <c r="FM82" s="41"/>
      <c r="FN82" s="41"/>
      <c r="FO82" s="41"/>
      <c r="FP82" s="41"/>
      <c r="FQ82" s="41"/>
      <c r="FR82" s="41"/>
      <c r="FS82" s="41"/>
      <c r="FT82" s="41"/>
      <c r="FU82" s="41"/>
      <c r="FV82" s="41"/>
      <c r="FW82" s="41"/>
      <c r="FX82" s="41"/>
      <c r="FY82" s="41"/>
      <c r="FZ82" s="41"/>
      <c r="GA82" s="41"/>
      <c r="GB82" s="41"/>
      <c r="GC82" s="41"/>
      <c r="GD82" s="41"/>
      <c r="GE82" s="41"/>
      <c r="GF82" s="41"/>
      <c r="GG82" s="41"/>
      <c r="GH82" s="41"/>
      <c r="GI82" s="41"/>
      <c r="GJ82" s="41"/>
      <c r="GK82" s="41"/>
      <c r="GL82" s="41"/>
      <c r="GM82" s="41"/>
      <c r="GN82" s="41"/>
    </row>
    <row r="83" spans="1:196" ht="19.2" x14ac:dyDescent="0.4">
      <c r="A83" s="57">
        <v>76</v>
      </c>
      <c r="B83" s="88">
        <f>사원명부!B83</f>
        <v>0</v>
      </c>
      <c r="C83" s="89">
        <f>사원명부!D83</f>
        <v>0</v>
      </c>
      <c r="D83" s="90" t="str">
        <f>IF(B83=0,"-",사원명부!E83)</f>
        <v>-</v>
      </c>
      <c r="E83" s="91" t="str">
        <f t="shared" si="7"/>
        <v>-</v>
      </c>
      <c r="F83" s="68"/>
      <c r="G83" s="69"/>
      <c r="H83" s="102">
        <f t="shared" si="8"/>
        <v>0</v>
      </c>
      <c r="I83" s="103">
        <f t="shared" si="9"/>
        <v>0</v>
      </c>
      <c r="J83" s="104">
        <f t="shared" si="10"/>
        <v>0</v>
      </c>
      <c r="K83" s="70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2"/>
      <c r="W83" s="110">
        <f t="shared" si="11"/>
        <v>0</v>
      </c>
      <c r="X83" s="114"/>
      <c r="Y83" s="73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  <c r="CG83" s="41"/>
      <c r="CH83" s="41"/>
      <c r="CI83" s="41"/>
      <c r="CJ83" s="41"/>
      <c r="CK83" s="41"/>
      <c r="CL83" s="41"/>
      <c r="CM83" s="41"/>
      <c r="CN83" s="41"/>
      <c r="CO83" s="41"/>
      <c r="CP83" s="41"/>
      <c r="CQ83" s="41"/>
      <c r="CR83" s="41"/>
      <c r="CS83" s="41"/>
      <c r="CT83" s="41"/>
      <c r="CU83" s="41"/>
      <c r="CV83" s="41"/>
      <c r="CW83" s="41"/>
      <c r="CX83" s="41"/>
      <c r="CY83" s="41"/>
      <c r="CZ83" s="41"/>
      <c r="DA83" s="41"/>
      <c r="DB83" s="41"/>
      <c r="DC83" s="41"/>
      <c r="DD83" s="41"/>
      <c r="DE83" s="41"/>
      <c r="DF83" s="41"/>
      <c r="DG83" s="41"/>
      <c r="DH83" s="41"/>
      <c r="DI83" s="41"/>
      <c r="DJ83" s="41"/>
      <c r="DK83" s="41"/>
      <c r="DL83" s="41"/>
      <c r="DM83" s="41"/>
      <c r="DN83" s="41"/>
      <c r="DO83" s="41"/>
      <c r="DP83" s="41"/>
      <c r="DQ83" s="41"/>
      <c r="DR83" s="41"/>
      <c r="DS83" s="41"/>
      <c r="DT83" s="41"/>
      <c r="DU83" s="41"/>
      <c r="DV83" s="41"/>
      <c r="DW83" s="41"/>
      <c r="DX83" s="41"/>
      <c r="DY83" s="41"/>
      <c r="DZ83" s="41"/>
      <c r="EA83" s="41"/>
      <c r="EB83" s="41"/>
      <c r="EC83" s="41"/>
      <c r="ED83" s="41"/>
      <c r="EE83" s="41"/>
      <c r="EF83" s="41"/>
      <c r="EG83" s="41"/>
      <c r="EH83" s="41"/>
      <c r="EI83" s="41"/>
      <c r="EJ83" s="41"/>
      <c r="EK83" s="41"/>
      <c r="EL83" s="41"/>
      <c r="EM83" s="41"/>
      <c r="EN83" s="41"/>
      <c r="EO83" s="41"/>
      <c r="EP83" s="41"/>
      <c r="EQ83" s="41"/>
      <c r="ER83" s="41"/>
      <c r="ES83" s="41"/>
      <c r="ET83" s="41"/>
      <c r="EU83" s="41"/>
      <c r="EV83" s="41"/>
      <c r="EW83" s="41"/>
      <c r="EX83" s="41"/>
      <c r="EY83" s="41"/>
      <c r="EZ83" s="41"/>
      <c r="FA83" s="41"/>
      <c r="FB83" s="41"/>
      <c r="FC83" s="41"/>
      <c r="FD83" s="41"/>
      <c r="FE83" s="41"/>
      <c r="FF83" s="41"/>
      <c r="FG83" s="41"/>
      <c r="FH83" s="41"/>
      <c r="FI83" s="41"/>
      <c r="FJ83" s="41"/>
      <c r="FK83" s="41"/>
      <c r="FL83" s="41"/>
      <c r="FM83" s="41"/>
      <c r="FN83" s="41"/>
      <c r="FO83" s="41"/>
      <c r="FP83" s="41"/>
      <c r="FQ83" s="41"/>
      <c r="FR83" s="41"/>
      <c r="FS83" s="41"/>
      <c r="FT83" s="41"/>
      <c r="FU83" s="41"/>
      <c r="FV83" s="41"/>
      <c r="FW83" s="41"/>
      <c r="FX83" s="41"/>
      <c r="FY83" s="41"/>
      <c r="FZ83" s="41"/>
      <c r="GA83" s="41"/>
      <c r="GB83" s="41"/>
      <c r="GC83" s="41"/>
      <c r="GD83" s="41"/>
      <c r="GE83" s="41"/>
      <c r="GF83" s="41"/>
      <c r="GG83" s="41"/>
      <c r="GH83" s="41"/>
      <c r="GI83" s="41"/>
      <c r="GJ83" s="41"/>
      <c r="GK83" s="41"/>
      <c r="GL83" s="41"/>
      <c r="GM83" s="41"/>
      <c r="GN83" s="41"/>
    </row>
    <row r="84" spans="1:196" ht="19.2" x14ac:dyDescent="0.4">
      <c r="A84" s="57">
        <v>77</v>
      </c>
      <c r="B84" s="88">
        <f>사원명부!B84</f>
        <v>0</v>
      </c>
      <c r="C84" s="89">
        <f>사원명부!D84</f>
        <v>0</v>
      </c>
      <c r="D84" s="90" t="str">
        <f>IF(B84=0,"-",사원명부!E84)</f>
        <v>-</v>
      </c>
      <c r="E84" s="91" t="str">
        <f t="shared" si="7"/>
        <v>-</v>
      </c>
      <c r="F84" s="68"/>
      <c r="G84" s="69"/>
      <c r="H84" s="102">
        <f t="shared" si="8"/>
        <v>0</v>
      </c>
      <c r="I84" s="103">
        <f t="shared" si="9"/>
        <v>0</v>
      </c>
      <c r="J84" s="104">
        <f t="shared" si="10"/>
        <v>0</v>
      </c>
      <c r="K84" s="70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2"/>
      <c r="W84" s="110">
        <f t="shared" si="11"/>
        <v>0</v>
      </c>
      <c r="X84" s="114"/>
      <c r="Y84" s="73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  <c r="CG84" s="41"/>
      <c r="CH84" s="41"/>
      <c r="CI84" s="41"/>
      <c r="CJ84" s="41"/>
      <c r="CK84" s="41"/>
      <c r="CL84" s="41"/>
      <c r="CM84" s="41"/>
      <c r="CN84" s="41"/>
      <c r="CO84" s="41"/>
      <c r="CP84" s="41"/>
      <c r="CQ84" s="41"/>
      <c r="CR84" s="41"/>
      <c r="CS84" s="41"/>
      <c r="CT84" s="41"/>
      <c r="CU84" s="41"/>
      <c r="CV84" s="41"/>
      <c r="CW84" s="41"/>
      <c r="CX84" s="41"/>
      <c r="CY84" s="41"/>
      <c r="CZ84" s="41"/>
      <c r="DA84" s="41"/>
      <c r="DB84" s="41"/>
      <c r="DC84" s="41"/>
      <c r="DD84" s="41"/>
      <c r="DE84" s="41"/>
      <c r="DF84" s="41"/>
      <c r="DG84" s="41"/>
      <c r="DH84" s="41"/>
      <c r="DI84" s="41"/>
      <c r="DJ84" s="41"/>
      <c r="DK84" s="41"/>
      <c r="DL84" s="41"/>
      <c r="DM84" s="41"/>
      <c r="DN84" s="41"/>
      <c r="DO84" s="41"/>
      <c r="DP84" s="41"/>
      <c r="DQ84" s="41"/>
      <c r="DR84" s="41"/>
      <c r="DS84" s="41"/>
      <c r="DT84" s="41"/>
      <c r="DU84" s="41"/>
      <c r="DV84" s="41"/>
      <c r="DW84" s="41"/>
      <c r="DX84" s="41"/>
      <c r="DY84" s="41"/>
      <c r="DZ84" s="41"/>
      <c r="EA84" s="41"/>
      <c r="EB84" s="41"/>
      <c r="EC84" s="41"/>
      <c r="ED84" s="41"/>
      <c r="EE84" s="41"/>
      <c r="EF84" s="41"/>
      <c r="EG84" s="41"/>
      <c r="EH84" s="41"/>
      <c r="EI84" s="41"/>
      <c r="EJ84" s="41"/>
      <c r="EK84" s="41"/>
      <c r="EL84" s="41"/>
      <c r="EM84" s="41"/>
      <c r="EN84" s="41"/>
      <c r="EO84" s="41"/>
      <c r="EP84" s="41"/>
      <c r="EQ84" s="41"/>
      <c r="ER84" s="41"/>
      <c r="ES84" s="41"/>
      <c r="ET84" s="41"/>
      <c r="EU84" s="41"/>
      <c r="EV84" s="41"/>
      <c r="EW84" s="41"/>
      <c r="EX84" s="41"/>
      <c r="EY84" s="41"/>
      <c r="EZ84" s="41"/>
      <c r="FA84" s="41"/>
      <c r="FB84" s="41"/>
      <c r="FC84" s="41"/>
      <c r="FD84" s="41"/>
      <c r="FE84" s="41"/>
      <c r="FF84" s="41"/>
      <c r="FG84" s="41"/>
      <c r="FH84" s="41"/>
      <c r="FI84" s="41"/>
      <c r="FJ84" s="41"/>
      <c r="FK84" s="41"/>
      <c r="FL84" s="41"/>
      <c r="FM84" s="41"/>
      <c r="FN84" s="41"/>
      <c r="FO84" s="41"/>
      <c r="FP84" s="41"/>
      <c r="FQ84" s="41"/>
      <c r="FR84" s="41"/>
      <c r="FS84" s="41"/>
      <c r="FT84" s="41"/>
      <c r="FU84" s="41"/>
      <c r="FV84" s="41"/>
      <c r="FW84" s="41"/>
      <c r="FX84" s="41"/>
      <c r="FY84" s="41"/>
      <c r="FZ84" s="41"/>
      <c r="GA84" s="41"/>
      <c r="GB84" s="41"/>
      <c r="GC84" s="41"/>
      <c r="GD84" s="41"/>
      <c r="GE84" s="41"/>
      <c r="GF84" s="41"/>
      <c r="GG84" s="41"/>
      <c r="GH84" s="41"/>
      <c r="GI84" s="41"/>
      <c r="GJ84" s="41"/>
      <c r="GK84" s="41"/>
      <c r="GL84" s="41"/>
      <c r="GM84" s="41"/>
      <c r="GN84" s="41"/>
    </row>
    <row r="85" spans="1:196" ht="19.2" x14ac:dyDescent="0.4">
      <c r="A85" s="57">
        <v>78</v>
      </c>
      <c r="B85" s="88">
        <f>사원명부!B85</f>
        <v>0</v>
      </c>
      <c r="C85" s="89">
        <f>사원명부!D85</f>
        <v>0</v>
      </c>
      <c r="D85" s="90" t="str">
        <f>IF(B85=0,"-",사원명부!E85)</f>
        <v>-</v>
      </c>
      <c r="E85" s="91" t="str">
        <f t="shared" si="7"/>
        <v>-</v>
      </c>
      <c r="F85" s="68"/>
      <c r="G85" s="69"/>
      <c r="H85" s="102">
        <f t="shared" si="8"/>
        <v>0</v>
      </c>
      <c r="I85" s="103">
        <f t="shared" si="9"/>
        <v>0</v>
      </c>
      <c r="J85" s="104">
        <f t="shared" si="10"/>
        <v>0</v>
      </c>
      <c r="K85" s="70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2"/>
      <c r="W85" s="110">
        <f t="shared" si="11"/>
        <v>0</v>
      </c>
      <c r="X85" s="114"/>
      <c r="Y85" s="73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1"/>
      <c r="CK85" s="41"/>
      <c r="CL85" s="41"/>
      <c r="CM85" s="41"/>
      <c r="CN85" s="41"/>
      <c r="CO85" s="41"/>
      <c r="CP85" s="41"/>
      <c r="CQ85" s="41"/>
      <c r="CR85" s="41"/>
      <c r="CS85" s="41"/>
      <c r="CT85" s="41"/>
      <c r="CU85" s="41"/>
      <c r="CV85" s="41"/>
      <c r="CW85" s="41"/>
      <c r="CX85" s="41"/>
      <c r="CY85" s="41"/>
      <c r="CZ85" s="41"/>
      <c r="DA85" s="41"/>
      <c r="DB85" s="41"/>
      <c r="DC85" s="41"/>
      <c r="DD85" s="41"/>
      <c r="DE85" s="41"/>
      <c r="DF85" s="41"/>
      <c r="DG85" s="41"/>
      <c r="DH85" s="41"/>
      <c r="DI85" s="41"/>
      <c r="DJ85" s="41"/>
      <c r="DK85" s="41"/>
      <c r="DL85" s="41"/>
      <c r="DM85" s="41"/>
      <c r="DN85" s="41"/>
      <c r="DO85" s="41"/>
      <c r="DP85" s="41"/>
      <c r="DQ85" s="41"/>
      <c r="DR85" s="41"/>
      <c r="DS85" s="41"/>
      <c r="DT85" s="41"/>
      <c r="DU85" s="41"/>
      <c r="DV85" s="41"/>
      <c r="DW85" s="41"/>
      <c r="DX85" s="41"/>
      <c r="DY85" s="41"/>
      <c r="DZ85" s="41"/>
      <c r="EA85" s="41"/>
      <c r="EB85" s="41"/>
      <c r="EC85" s="41"/>
      <c r="ED85" s="41"/>
      <c r="EE85" s="41"/>
      <c r="EF85" s="41"/>
      <c r="EG85" s="41"/>
      <c r="EH85" s="41"/>
      <c r="EI85" s="41"/>
      <c r="EJ85" s="41"/>
      <c r="EK85" s="41"/>
      <c r="EL85" s="41"/>
      <c r="EM85" s="41"/>
      <c r="EN85" s="41"/>
      <c r="EO85" s="41"/>
      <c r="EP85" s="41"/>
      <c r="EQ85" s="41"/>
      <c r="ER85" s="41"/>
      <c r="ES85" s="41"/>
      <c r="ET85" s="41"/>
      <c r="EU85" s="41"/>
      <c r="EV85" s="41"/>
      <c r="EW85" s="41"/>
      <c r="EX85" s="41"/>
      <c r="EY85" s="41"/>
      <c r="EZ85" s="41"/>
      <c r="FA85" s="41"/>
      <c r="FB85" s="41"/>
      <c r="FC85" s="41"/>
      <c r="FD85" s="41"/>
      <c r="FE85" s="41"/>
      <c r="FF85" s="41"/>
      <c r="FG85" s="41"/>
      <c r="FH85" s="41"/>
      <c r="FI85" s="41"/>
      <c r="FJ85" s="41"/>
      <c r="FK85" s="41"/>
      <c r="FL85" s="41"/>
      <c r="FM85" s="41"/>
      <c r="FN85" s="41"/>
      <c r="FO85" s="41"/>
      <c r="FP85" s="41"/>
      <c r="FQ85" s="41"/>
      <c r="FR85" s="41"/>
      <c r="FS85" s="41"/>
      <c r="FT85" s="41"/>
      <c r="FU85" s="41"/>
      <c r="FV85" s="41"/>
      <c r="FW85" s="41"/>
      <c r="FX85" s="41"/>
      <c r="FY85" s="41"/>
      <c r="FZ85" s="41"/>
      <c r="GA85" s="41"/>
      <c r="GB85" s="41"/>
      <c r="GC85" s="41"/>
      <c r="GD85" s="41"/>
      <c r="GE85" s="41"/>
      <c r="GF85" s="41"/>
      <c r="GG85" s="41"/>
      <c r="GH85" s="41"/>
      <c r="GI85" s="41"/>
      <c r="GJ85" s="41"/>
      <c r="GK85" s="41"/>
      <c r="GL85" s="41"/>
      <c r="GM85" s="41"/>
      <c r="GN85" s="41"/>
    </row>
    <row r="86" spans="1:196" ht="19.2" x14ac:dyDescent="0.4">
      <c r="A86" s="57">
        <v>79</v>
      </c>
      <c r="B86" s="88">
        <f>사원명부!B86</f>
        <v>0</v>
      </c>
      <c r="C86" s="89">
        <f>사원명부!D86</f>
        <v>0</v>
      </c>
      <c r="D86" s="90" t="str">
        <f>IF(B86=0,"-",사원명부!E86)</f>
        <v>-</v>
      </c>
      <c r="E86" s="91" t="str">
        <f t="shared" si="7"/>
        <v>-</v>
      </c>
      <c r="F86" s="68"/>
      <c r="G86" s="69"/>
      <c r="H86" s="102">
        <f t="shared" si="8"/>
        <v>0</v>
      </c>
      <c r="I86" s="103">
        <f t="shared" si="9"/>
        <v>0</v>
      </c>
      <c r="J86" s="104">
        <f t="shared" si="10"/>
        <v>0</v>
      </c>
      <c r="K86" s="70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2"/>
      <c r="W86" s="110">
        <f t="shared" si="11"/>
        <v>0</v>
      </c>
      <c r="X86" s="114"/>
      <c r="Y86" s="73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  <c r="CF86" s="41"/>
      <c r="CG86" s="41"/>
      <c r="CH86" s="41"/>
      <c r="CI86" s="41"/>
      <c r="CJ86" s="41"/>
      <c r="CK86" s="41"/>
      <c r="CL86" s="41"/>
      <c r="CM86" s="41"/>
      <c r="CN86" s="41"/>
      <c r="CO86" s="41"/>
      <c r="CP86" s="41"/>
      <c r="CQ86" s="41"/>
      <c r="CR86" s="41"/>
      <c r="CS86" s="41"/>
      <c r="CT86" s="41"/>
      <c r="CU86" s="41"/>
      <c r="CV86" s="41"/>
      <c r="CW86" s="41"/>
      <c r="CX86" s="41"/>
      <c r="CY86" s="41"/>
      <c r="CZ86" s="41"/>
      <c r="DA86" s="41"/>
      <c r="DB86" s="41"/>
      <c r="DC86" s="41"/>
      <c r="DD86" s="41"/>
      <c r="DE86" s="41"/>
      <c r="DF86" s="41"/>
      <c r="DG86" s="41"/>
      <c r="DH86" s="41"/>
      <c r="DI86" s="41"/>
      <c r="DJ86" s="41"/>
      <c r="DK86" s="41"/>
      <c r="DL86" s="41"/>
      <c r="DM86" s="41"/>
      <c r="DN86" s="41"/>
      <c r="DO86" s="41"/>
      <c r="DP86" s="41"/>
      <c r="DQ86" s="41"/>
      <c r="DR86" s="41"/>
      <c r="DS86" s="41"/>
      <c r="DT86" s="41"/>
      <c r="DU86" s="41"/>
      <c r="DV86" s="41"/>
      <c r="DW86" s="41"/>
      <c r="DX86" s="41"/>
      <c r="DY86" s="41"/>
      <c r="DZ86" s="41"/>
      <c r="EA86" s="41"/>
      <c r="EB86" s="41"/>
      <c r="EC86" s="41"/>
      <c r="ED86" s="41"/>
      <c r="EE86" s="41"/>
      <c r="EF86" s="41"/>
      <c r="EG86" s="41"/>
      <c r="EH86" s="41"/>
      <c r="EI86" s="41"/>
      <c r="EJ86" s="41"/>
      <c r="EK86" s="41"/>
      <c r="EL86" s="41"/>
      <c r="EM86" s="41"/>
      <c r="EN86" s="41"/>
      <c r="EO86" s="41"/>
      <c r="EP86" s="41"/>
      <c r="EQ86" s="41"/>
      <c r="ER86" s="41"/>
      <c r="ES86" s="41"/>
      <c r="ET86" s="41"/>
      <c r="EU86" s="41"/>
      <c r="EV86" s="41"/>
      <c r="EW86" s="41"/>
      <c r="EX86" s="41"/>
      <c r="EY86" s="41"/>
      <c r="EZ86" s="41"/>
      <c r="FA86" s="41"/>
      <c r="FB86" s="41"/>
      <c r="FC86" s="41"/>
      <c r="FD86" s="41"/>
      <c r="FE86" s="41"/>
      <c r="FF86" s="41"/>
      <c r="FG86" s="41"/>
      <c r="FH86" s="41"/>
      <c r="FI86" s="41"/>
      <c r="FJ86" s="41"/>
      <c r="FK86" s="41"/>
      <c r="FL86" s="41"/>
      <c r="FM86" s="41"/>
      <c r="FN86" s="41"/>
      <c r="FO86" s="41"/>
      <c r="FP86" s="41"/>
      <c r="FQ86" s="41"/>
      <c r="FR86" s="41"/>
      <c r="FS86" s="41"/>
      <c r="FT86" s="41"/>
      <c r="FU86" s="41"/>
      <c r="FV86" s="41"/>
      <c r="FW86" s="41"/>
      <c r="FX86" s="41"/>
      <c r="FY86" s="41"/>
      <c r="FZ86" s="41"/>
      <c r="GA86" s="41"/>
      <c r="GB86" s="41"/>
      <c r="GC86" s="41"/>
      <c r="GD86" s="41"/>
      <c r="GE86" s="41"/>
      <c r="GF86" s="41"/>
      <c r="GG86" s="41"/>
      <c r="GH86" s="41"/>
      <c r="GI86" s="41"/>
      <c r="GJ86" s="41"/>
      <c r="GK86" s="41"/>
      <c r="GL86" s="41"/>
      <c r="GM86" s="41"/>
      <c r="GN86" s="41"/>
    </row>
    <row r="87" spans="1:196" ht="19.2" x14ac:dyDescent="0.4">
      <c r="A87" s="57">
        <v>80</v>
      </c>
      <c r="B87" s="88">
        <f>사원명부!B87</f>
        <v>0</v>
      </c>
      <c r="C87" s="89">
        <f>사원명부!D87</f>
        <v>0</v>
      </c>
      <c r="D87" s="90" t="str">
        <f>IF(B87=0,"-",사원명부!E87)</f>
        <v>-</v>
      </c>
      <c r="E87" s="91" t="str">
        <f t="shared" si="7"/>
        <v>-</v>
      </c>
      <c r="F87" s="68"/>
      <c r="G87" s="69"/>
      <c r="H87" s="102">
        <f t="shared" si="8"/>
        <v>0</v>
      </c>
      <c r="I87" s="103">
        <f t="shared" si="9"/>
        <v>0</v>
      </c>
      <c r="J87" s="104">
        <f t="shared" si="10"/>
        <v>0</v>
      </c>
      <c r="K87" s="70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2"/>
      <c r="W87" s="110">
        <f t="shared" si="11"/>
        <v>0</v>
      </c>
      <c r="X87" s="114"/>
      <c r="Y87" s="73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  <c r="CF87" s="41"/>
      <c r="CG87" s="41"/>
      <c r="CH87" s="41"/>
      <c r="CI87" s="41"/>
      <c r="CJ87" s="41"/>
      <c r="CK87" s="41"/>
      <c r="CL87" s="41"/>
      <c r="CM87" s="41"/>
      <c r="CN87" s="41"/>
      <c r="CO87" s="41"/>
      <c r="CP87" s="41"/>
      <c r="CQ87" s="41"/>
      <c r="CR87" s="41"/>
      <c r="CS87" s="41"/>
      <c r="CT87" s="41"/>
      <c r="CU87" s="41"/>
      <c r="CV87" s="41"/>
      <c r="CW87" s="41"/>
      <c r="CX87" s="41"/>
      <c r="CY87" s="41"/>
      <c r="CZ87" s="41"/>
      <c r="DA87" s="41"/>
      <c r="DB87" s="41"/>
      <c r="DC87" s="41"/>
      <c r="DD87" s="41"/>
      <c r="DE87" s="41"/>
      <c r="DF87" s="41"/>
      <c r="DG87" s="41"/>
      <c r="DH87" s="41"/>
      <c r="DI87" s="41"/>
      <c r="DJ87" s="41"/>
      <c r="DK87" s="41"/>
      <c r="DL87" s="41"/>
      <c r="DM87" s="41"/>
      <c r="DN87" s="41"/>
      <c r="DO87" s="41"/>
      <c r="DP87" s="41"/>
      <c r="DQ87" s="41"/>
      <c r="DR87" s="41"/>
      <c r="DS87" s="41"/>
      <c r="DT87" s="41"/>
      <c r="DU87" s="41"/>
      <c r="DV87" s="41"/>
      <c r="DW87" s="41"/>
      <c r="DX87" s="41"/>
      <c r="DY87" s="41"/>
      <c r="DZ87" s="41"/>
      <c r="EA87" s="41"/>
      <c r="EB87" s="41"/>
      <c r="EC87" s="41"/>
      <c r="ED87" s="41"/>
      <c r="EE87" s="41"/>
      <c r="EF87" s="41"/>
      <c r="EG87" s="41"/>
      <c r="EH87" s="41"/>
      <c r="EI87" s="41"/>
      <c r="EJ87" s="41"/>
      <c r="EK87" s="41"/>
      <c r="EL87" s="41"/>
      <c r="EM87" s="41"/>
      <c r="EN87" s="41"/>
      <c r="EO87" s="41"/>
      <c r="EP87" s="41"/>
      <c r="EQ87" s="41"/>
      <c r="ER87" s="41"/>
      <c r="ES87" s="41"/>
      <c r="ET87" s="41"/>
      <c r="EU87" s="41"/>
      <c r="EV87" s="41"/>
      <c r="EW87" s="41"/>
      <c r="EX87" s="41"/>
      <c r="EY87" s="41"/>
      <c r="EZ87" s="41"/>
      <c r="FA87" s="41"/>
      <c r="FB87" s="41"/>
      <c r="FC87" s="41"/>
      <c r="FD87" s="41"/>
      <c r="FE87" s="41"/>
      <c r="FF87" s="41"/>
      <c r="FG87" s="41"/>
      <c r="FH87" s="41"/>
      <c r="FI87" s="41"/>
      <c r="FJ87" s="41"/>
      <c r="FK87" s="41"/>
      <c r="FL87" s="41"/>
      <c r="FM87" s="41"/>
      <c r="FN87" s="41"/>
      <c r="FO87" s="41"/>
      <c r="FP87" s="41"/>
      <c r="FQ87" s="41"/>
      <c r="FR87" s="41"/>
      <c r="FS87" s="41"/>
      <c r="FT87" s="41"/>
      <c r="FU87" s="41"/>
      <c r="FV87" s="41"/>
      <c r="FW87" s="41"/>
      <c r="FX87" s="41"/>
      <c r="FY87" s="41"/>
      <c r="FZ87" s="41"/>
      <c r="GA87" s="41"/>
      <c r="GB87" s="41"/>
      <c r="GC87" s="41"/>
      <c r="GD87" s="41"/>
      <c r="GE87" s="41"/>
      <c r="GF87" s="41"/>
      <c r="GG87" s="41"/>
      <c r="GH87" s="41"/>
      <c r="GI87" s="41"/>
      <c r="GJ87" s="41"/>
      <c r="GK87" s="41"/>
      <c r="GL87" s="41"/>
      <c r="GM87" s="41"/>
      <c r="GN87" s="41"/>
    </row>
    <row r="88" spans="1:196" ht="19.2" x14ac:dyDescent="0.4">
      <c r="A88" s="57">
        <v>81</v>
      </c>
      <c r="B88" s="88">
        <f>사원명부!B88</f>
        <v>0</v>
      </c>
      <c r="C88" s="89">
        <f>사원명부!D88</f>
        <v>0</v>
      </c>
      <c r="D88" s="90" t="str">
        <f>IF(B88=0,"-",사원명부!E88)</f>
        <v>-</v>
      </c>
      <c r="E88" s="91" t="str">
        <f t="shared" si="7"/>
        <v>-</v>
      </c>
      <c r="F88" s="68"/>
      <c r="G88" s="69"/>
      <c r="H88" s="102">
        <f t="shared" si="8"/>
        <v>0</v>
      </c>
      <c r="I88" s="103">
        <f t="shared" si="9"/>
        <v>0</v>
      </c>
      <c r="J88" s="104">
        <f t="shared" si="10"/>
        <v>0</v>
      </c>
      <c r="K88" s="70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2"/>
      <c r="W88" s="110">
        <f t="shared" si="11"/>
        <v>0</v>
      </c>
      <c r="X88" s="114"/>
      <c r="Y88" s="73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  <c r="CF88" s="41"/>
      <c r="CG88" s="41"/>
      <c r="CH88" s="41"/>
      <c r="CI88" s="41"/>
      <c r="CJ88" s="41"/>
      <c r="CK88" s="41"/>
      <c r="CL88" s="41"/>
      <c r="CM88" s="41"/>
      <c r="CN88" s="41"/>
      <c r="CO88" s="41"/>
      <c r="CP88" s="41"/>
      <c r="CQ88" s="41"/>
      <c r="CR88" s="41"/>
      <c r="CS88" s="41"/>
      <c r="CT88" s="41"/>
      <c r="CU88" s="41"/>
      <c r="CV88" s="41"/>
      <c r="CW88" s="41"/>
      <c r="CX88" s="41"/>
      <c r="CY88" s="41"/>
      <c r="CZ88" s="41"/>
      <c r="DA88" s="41"/>
      <c r="DB88" s="41"/>
      <c r="DC88" s="41"/>
      <c r="DD88" s="41"/>
      <c r="DE88" s="41"/>
      <c r="DF88" s="41"/>
      <c r="DG88" s="41"/>
      <c r="DH88" s="41"/>
      <c r="DI88" s="41"/>
      <c r="DJ88" s="41"/>
      <c r="DK88" s="41"/>
      <c r="DL88" s="41"/>
      <c r="DM88" s="41"/>
      <c r="DN88" s="41"/>
      <c r="DO88" s="41"/>
      <c r="DP88" s="41"/>
      <c r="DQ88" s="41"/>
      <c r="DR88" s="41"/>
      <c r="DS88" s="41"/>
      <c r="DT88" s="41"/>
      <c r="DU88" s="41"/>
      <c r="DV88" s="41"/>
      <c r="DW88" s="41"/>
      <c r="DX88" s="41"/>
      <c r="DY88" s="41"/>
      <c r="DZ88" s="41"/>
      <c r="EA88" s="41"/>
      <c r="EB88" s="41"/>
      <c r="EC88" s="41"/>
      <c r="ED88" s="41"/>
      <c r="EE88" s="41"/>
      <c r="EF88" s="41"/>
      <c r="EG88" s="41"/>
      <c r="EH88" s="41"/>
      <c r="EI88" s="41"/>
      <c r="EJ88" s="41"/>
      <c r="EK88" s="41"/>
      <c r="EL88" s="41"/>
      <c r="EM88" s="41"/>
      <c r="EN88" s="41"/>
      <c r="EO88" s="41"/>
      <c r="EP88" s="41"/>
      <c r="EQ88" s="41"/>
      <c r="ER88" s="41"/>
      <c r="ES88" s="41"/>
      <c r="ET88" s="41"/>
      <c r="EU88" s="41"/>
      <c r="EV88" s="41"/>
      <c r="EW88" s="41"/>
      <c r="EX88" s="41"/>
      <c r="EY88" s="41"/>
      <c r="EZ88" s="41"/>
      <c r="FA88" s="41"/>
      <c r="FB88" s="41"/>
      <c r="FC88" s="41"/>
      <c r="FD88" s="41"/>
      <c r="FE88" s="41"/>
      <c r="FF88" s="41"/>
      <c r="FG88" s="41"/>
      <c r="FH88" s="41"/>
      <c r="FI88" s="41"/>
      <c r="FJ88" s="41"/>
      <c r="FK88" s="41"/>
      <c r="FL88" s="41"/>
      <c r="FM88" s="41"/>
      <c r="FN88" s="41"/>
      <c r="FO88" s="41"/>
      <c r="FP88" s="41"/>
      <c r="FQ88" s="41"/>
      <c r="FR88" s="41"/>
      <c r="FS88" s="41"/>
      <c r="FT88" s="41"/>
      <c r="FU88" s="41"/>
      <c r="FV88" s="41"/>
      <c r="FW88" s="41"/>
      <c r="FX88" s="41"/>
      <c r="FY88" s="41"/>
      <c r="FZ88" s="41"/>
      <c r="GA88" s="41"/>
      <c r="GB88" s="41"/>
      <c r="GC88" s="41"/>
      <c r="GD88" s="41"/>
      <c r="GE88" s="41"/>
      <c r="GF88" s="41"/>
      <c r="GG88" s="41"/>
      <c r="GH88" s="41"/>
      <c r="GI88" s="41"/>
      <c r="GJ88" s="41"/>
      <c r="GK88" s="41"/>
      <c r="GL88" s="41"/>
      <c r="GM88" s="41"/>
      <c r="GN88" s="41"/>
    </row>
    <row r="89" spans="1:196" ht="19.2" x14ac:dyDescent="0.4">
      <c r="A89" s="57">
        <v>82</v>
      </c>
      <c r="B89" s="88">
        <f>사원명부!B89</f>
        <v>0</v>
      </c>
      <c r="C89" s="89">
        <f>사원명부!D89</f>
        <v>0</v>
      </c>
      <c r="D89" s="90" t="str">
        <f>IF(B89=0,"-",사원명부!E89)</f>
        <v>-</v>
      </c>
      <c r="E89" s="91" t="str">
        <f t="shared" si="7"/>
        <v>-</v>
      </c>
      <c r="F89" s="68"/>
      <c r="G89" s="69"/>
      <c r="H89" s="102">
        <f t="shared" si="8"/>
        <v>0</v>
      </c>
      <c r="I89" s="103">
        <f t="shared" si="9"/>
        <v>0</v>
      </c>
      <c r="J89" s="104">
        <f t="shared" si="10"/>
        <v>0</v>
      </c>
      <c r="K89" s="70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2"/>
      <c r="W89" s="110">
        <f t="shared" si="11"/>
        <v>0</v>
      </c>
      <c r="X89" s="114"/>
      <c r="Y89" s="73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  <c r="CF89" s="41"/>
      <c r="CG89" s="41"/>
      <c r="CH89" s="41"/>
      <c r="CI89" s="41"/>
      <c r="CJ89" s="41"/>
      <c r="CK89" s="41"/>
      <c r="CL89" s="41"/>
      <c r="CM89" s="41"/>
      <c r="CN89" s="41"/>
      <c r="CO89" s="41"/>
      <c r="CP89" s="41"/>
      <c r="CQ89" s="41"/>
      <c r="CR89" s="41"/>
      <c r="CS89" s="41"/>
      <c r="CT89" s="41"/>
      <c r="CU89" s="41"/>
      <c r="CV89" s="41"/>
      <c r="CW89" s="41"/>
      <c r="CX89" s="41"/>
      <c r="CY89" s="41"/>
      <c r="CZ89" s="41"/>
      <c r="DA89" s="41"/>
      <c r="DB89" s="41"/>
      <c r="DC89" s="41"/>
      <c r="DD89" s="41"/>
      <c r="DE89" s="41"/>
      <c r="DF89" s="41"/>
      <c r="DG89" s="41"/>
      <c r="DH89" s="41"/>
      <c r="DI89" s="41"/>
      <c r="DJ89" s="41"/>
      <c r="DK89" s="41"/>
      <c r="DL89" s="41"/>
      <c r="DM89" s="41"/>
      <c r="DN89" s="41"/>
      <c r="DO89" s="41"/>
      <c r="DP89" s="41"/>
      <c r="DQ89" s="41"/>
      <c r="DR89" s="41"/>
      <c r="DS89" s="41"/>
      <c r="DT89" s="41"/>
      <c r="DU89" s="41"/>
      <c r="DV89" s="41"/>
      <c r="DW89" s="41"/>
      <c r="DX89" s="41"/>
      <c r="DY89" s="41"/>
      <c r="DZ89" s="41"/>
      <c r="EA89" s="41"/>
      <c r="EB89" s="41"/>
      <c r="EC89" s="41"/>
      <c r="ED89" s="41"/>
      <c r="EE89" s="41"/>
      <c r="EF89" s="41"/>
      <c r="EG89" s="41"/>
      <c r="EH89" s="41"/>
      <c r="EI89" s="41"/>
      <c r="EJ89" s="41"/>
      <c r="EK89" s="41"/>
      <c r="EL89" s="41"/>
      <c r="EM89" s="41"/>
      <c r="EN89" s="41"/>
      <c r="EO89" s="41"/>
      <c r="EP89" s="41"/>
      <c r="EQ89" s="41"/>
      <c r="ER89" s="41"/>
      <c r="ES89" s="41"/>
      <c r="ET89" s="41"/>
      <c r="EU89" s="41"/>
      <c r="EV89" s="41"/>
      <c r="EW89" s="41"/>
      <c r="EX89" s="41"/>
      <c r="EY89" s="41"/>
      <c r="EZ89" s="41"/>
      <c r="FA89" s="41"/>
      <c r="FB89" s="41"/>
      <c r="FC89" s="41"/>
      <c r="FD89" s="41"/>
      <c r="FE89" s="41"/>
      <c r="FF89" s="41"/>
      <c r="FG89" s="41"/>
      <c r="FH89" s="41"/>
      <c r="FI89" s="41"/>
      <c r="FJ89" s="41"/>
      <c r="FK89" s="41"/>
      <c r="FL89" s="41"/>
      <c r="FM89" s="41"/>
      <c r="FN89" s="41"/>
      <c r="FO89" s="41"/>
      <c r="FP89" s="41"/>
      <c r="FQ89" s="41"/>
      <c r="FR89" s="41"/>
      <c r="FS89" s="41"/>
      <c r="FT89" s="41"/>
      <c r="FU89" s="41"/>
      <c r="FV89" s="41"/>
      <c r="FW89" s="41"/>
      <c r="FX89" s="41"/>
      <c r="FY89" s="41"/>
      <c r="FZ89" s="41"/>
      <c r="GA89" s="41"/>
      <c r="GB89" s="41"/>
      <c r="GC89" s="41"/>
      <c r="GD89" s="41"/>
      <c r="GE89" s="41"/>
      <c r="GF89" s="41"/>
      <c r="GG89" s="41"/>
      <c r="GH89" s="41"/>
      <c r="GI89" s="41"/>
      <c r="GJ89" s="41"/>
      <c r="GK89" s="41"/>
      <c r="GL89" s="41"/>
      <c r="GM89" s="41"/>
      <c r="GN89" s="41"/>
    </row>
    <row r="90" spans="1:196" ht="19.2" x14ac:dyDescent="0.4">
      <c r="A90" s="57">
        <v>83</v>
      </c>
      <c r="B90" s="88">
        <f>사원명부!B90</f>
        <v>0</v>
      </c>
      <c r="C90" s="89">
        <f>사원명부!D90</f>
        <v>0</v>
      </c>
      <c r="D90" s="90" t="str">
        <f>IF(B90=0,"-",사원명부!E90)</f>
        <v>-</v>
      </c>
      <c r="E90" s="91" t="str">
        <f t="shared" si="7"/>
        <v>-</v>
      </c>
      <c r="F90" s="68"/>
      <c r="G90" s="69"/>
      <c r="H90" s="102">
        <f t="shared" si="8"/>
        <v>0</v>
      </c>
      <c r="I90" s="103">
        <f t="shared" si="9"/>
        <v>0</v>
      </c>
      <c r="J90" s="104">
        <f t="shared" si="10"/>
        <v>0</v>
      </c>
      <c r="K90" s="70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2"/>
      <c r="W90" s="110">
        <f t="shared" si="11"/>
        <v>0</v>
      </c>
      <c r="X90" s="114"/>
      <c r="Y90" s="73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  <c r="CF90" s="41"/>
      <c r="CG90" s="41"/>
      <c r="CH90" s="41"/>
      <c r="CI90" s="41"/>
      <c r="CJ90" s="41"/>
      <c r="CK90" s="41"/>
      <c r="CL90" s="41"/>
      <c r="CM90" s="41"/>
      <c r="CN90" s="41"/>
      <c r="CO90" s="41"/>
      <c r="CP90" s="41"/>
      <c r="CQ90" s="41"/>
      <c r="CR90" s="41"/>
      <c r="CS90" s="41"/>
      <c r="CT90" s="41"/>
      <c r="CU90" s="41"/>
      <c r="CV90" s="41"/>
      <c r="CW90" s="41"/>
      <c r="CX90" s="41"/>
      <c r="CY90" s="41"/>
      <c r="CZ90" s="41"/>
      <c r="DA90" s="41"/>
      <c r="DB90" s="41"/>
      <c r="DC90" s="41"/>
      <c r="DD90" s="41"/>
      <c r="DE90" s="41"/>
      <c r="DF90" s="41"/>
      <c r="DG90" s="41"/>
      <c r="DH90" s="41"/>
      <c r="DI90" s="41"/>
      <c r="DJ90" s="41"/>
      <c r="DK90" s="41"/>
      <c r="DL90" s="41"/>
      <c r="DM90" s="41"/>
      <c r="DN90" s="41"/>
      <c r="DO90" s="41"/>
      <c r="DP90" s="41"/>
      <c r="DQ90" s="41"/>
      <c r="DR90" s="41"/>
      <c r="DS90" s="41"/>
      <c r="DT90" s="41"/>
      <c r="DU90" s="41"/>
      <c r="DV90" s="41"/>
      <c r="DW90" s="41"/>
      <c r="DX90" s="41"/>
      <c r="DY90" s="41"/>
      <c r="DZ90" s="41"/>
      <c r="EA90" s="41"/>
      <c r="EB90" s="41"/>
      <c r="EC90" s="41"/>
      <c r="ED90" s="41"/>
      <c r="EE90" s="41"/>
      <c r="EF90" s="41"/>
      <c r="EG90" s="41"/>
      <c r="EH90" s="41"/>
      <c r="EI90" s="41"/>
      <c r="EJ90" s="41"/>
      <c r="EK90" s="41"/>
      <c r="EL90" s="41"/>
      <c r="EM90" s="41"/>
      <c r="EN90" s="41"/>
      <c r="EO90" s="41"/>
      <c r="EP90" s="41"/>
      <c r="EQ90" s="41"/>
      <c r="ER90" s="41"/>
      <c r="ES90" s="41"/>
      <c r="ET90" s="41"/>
      <c r="EU90" s="41"/>
      <c r="EV90" s="41"/>
      <c r="EW90" s="41"/>
      <c r="EX90" s="41"/>
      <c r="EY90" s="41"/>
      <c r="EZ90" s="41"/>
      <c r="FA90" s="41"/>
      <c r="FB90" s="41"/>
      <c r="FC90" s="41"/>
      <c r="FD90" s="41"/>
      <c r="FE90" s="41"/>
      <c r="FF90" s="41"/>
      <c r="FG90" s="41"/>
      <c r="FH90" s="41"/>
      <c r="FI90" s="41"/>
      <c r="FJ90" s="41"/>
      <c r="FK90" s="41"/>
      <c r="FL90" s="41"/>
      <c r="FM90" s="41"/>
      <c r="FN90" s="41"/>
      <c r="FO90" s="41"/>
      <c r="FP90" s="41"/>
      <c r="FQ90" s="41"/>
      <c r="FR90" s="41"/>
      <c r="FS90" s="41"/>
      <c r="FT90" s="41"/>
      <c r="FU90" s="41"/>
      <c r="FV90" s="41"/>
      <c r="FW90" s="41"/>
      <c r="FX90" s="41"/>
      <c r="FY90" s="41"/>
      <c r="FZ90" s="41"/>
      <c r="GA90" s="41"/>
      <c r="GB90" s="41"/>
      <c r="GC90" s="41"/>
      <c r="GD90" s="41"/>
      <c r="GE90" s="41"/>
      <c r="GF90" s="41"/>
      <c r="GG90" s="41"/>
      <c r="GH90" s="41"/>
      <c r="GI90" s="41"/>
      <c r="GJ90" s="41"/>
      <c r="GK90" s="41"/>
      <c r="GL90" s="41"/>
      <c r="GM90" s="41"/>
      <c r="GN90" s="41"/>
    </row>
    <row r="91" spans="1:196" ht="19.2" x14ac:dyDescent="0.4">
      <c r="A91" s="57">
        <v>84</v>
      </c>
      <c r="B91" s="88">
        <f>사원명부!B91</f>
        <v>0</v>
      </c>
      <c r="C91" s="89">
        <f>사원명부!D91</f>
        <v>0</v>
      </c>
      <c r="D91" s="90" t="str">
        <f>IF(B91=0,"-",사원명부!E91)</f>
        <v>-</v>
      </c>
      <c r="E91" s="91" t="str">
        <f t="shared" si="7"/>
        <v>-</v>
      </c>
      <c r="F91" s="68"/>
      <c r="G91" s="69"/>
      <c r="H91" s="102">
        <f t="shared" si="8"/>
        <v>0</v>
      </c>
      <c r="I91" s="103">
        <f t="shared" si="9"/>
        <v>0</v>
      </c>
      <c r="J91" s="104">
        <f t="shared" si="10"/>
        <v>0</v>
      </c>
      <c r="K91" s="70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2"/>
      <c r="W91" s="110">
        <f t="shared" si="11"/>
        <v>0</v>
      </c>
      <c r="X91" s="114"/>
      <c r="Y91" s="73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1"/>
      <c r="CK91" s="41"/>
      <c r="CL91" s="41"/>
      <c r="CM91" s="41"/>
      <c r="CN91" s="41"/>
      <c r="CO91" s="41"/>
      <c r="CP91" s="41"/>
      <c r="CQ91" s="41"/>
      <c r="CR91" s="41"/>
      <c r="CS91" s="41"/>
      <c r="CT91" s="41"/>
      <c r="CU91" s="41"/>
      <c r="CV91" s="41"/>
      <c r="CW91" s="41"/>
      <c r="CX91" s="41"/>
      <c r="CY91" s="41"/>
      <c r="CZ91" s="41"/>
      <c r="DA91" s="41"/>
      <c r="DB91" s="41"/>
      <c r="DC91" s="41"/>
      <c r="DD91" s="41"/>
      <c r="DE91" s="41"/>
      <c r="DF91" s="41"/>
      <c r="DG91" s="41"/>
      <c r="DH91" s="41"/>
      <c r="DI91" s="41"/>
      <c r="DJ91" s="41"/>
      <c r="DK91" s="41"/>
      <c r="DL91" s="41"/>
      <c r="DM91" s="41"/>
      <c r="DN91" s="41"/>
      <c r="DO91" s="41"/>
      <c r="DP91" s="41"/>
      <c r="DQ91" s="41"/>
      <c r="DR91" s="41"/>
      <c r="DS91" s="41"/>
      <c r="DT91" s="41"/>
      <c r="DU91" s="41"/>
      <c r="DV91" s="41"/>
      <c r="DW91" s="41"/>
      <c r="DX91" s="41"/>
      <c r="DY91" s="41"/>
      <c r="DZ91" s="41"/>
      <c r="EA91" s="41"/>
      <c r="EB91" s="41"/>
      <c r="EC91" s="41"/>
      <c r="ED91" s="41"/>
      <c r="EE91" s="41"/>
      <c r="EF91" s="41"/>
      <c r="EG91" s="41"/>
      <c r="EH91" s="41"/>
      <c r="EI91" s="41"/>
      <c r="EJ91" s="41"/>
      <c r="EK91" s="41"/>
      <c r="EL91" s="41"/>
      <c r="EM91" s="41"/>
      <c r="EN91" s="41"/>
      <c r="EO91" s="41"/>
      <c r="EP91" s="41"/>
      <c r="EQ91" s="41"/>
      <c r="ER91" s="41"/>
      <c r="ES91" s="41"/>
      <c r="ET91" s="41"/>
      <c r="EU91" s="41"/>
      <c r="EV91" s="41"/>
      <c r="EW91" s="41"/>
      <c r="EX91" s="41"/>
      <c r="EY91" s="41"/>
      <c r="EZ91" s="41"/>
      <c r="FA91" s="41"/>
      <c r="FB91" s="41"/>
      <c r="FC91" s="41"/>
      <c r="FD91" s="41"/>
      <c r="FE91" s="41"/>
      <c r="FF91" s="41"/>
      <c r="FG91" s="41"/>
      <c r="FH91" s="41"/>
      <c r="FI91" s="41"/>
      <c r="FJ91" s="41"/>
      <c r="FK91" s="41"/>
      <c r="FL91" s="41"/>
      <c r="FM91" s="41"/>
      <c r="FN91" s="41"/>
      <c r="FO91" s="41"/>
      <c r="FP91" s="41"/>
      <c r="FQ91" s="41"/>
      <c r="FR91" s="41"/>
      <c r="FS91" s="41"/>
      <c r="FT91" s="41"/>
      <c r="FU91" s="41"/>
      <c r="FV91" s="41"/>
      <c r="FW91" s="41"/>
      <c r="FX91" s="41"/>
      <c r="FY91" s="41"/>
      <c r="FZ91" s="41"/>
      <c r="GA91" s="41"/>
      <c r="GB91" s="41"/>
      <c r="GC91" s="41"/>
      <c r="GD91" s="41"/>
      <c r="GE91" s="41"/>
      <c r="GF91" s="41"/>
      <c r="GG91" s="41"/>
      <c r="GH91" s="41"/>
      <c r="GI91" s="41"/>
      <c r="GJ91" s="41"/>
      <c r="GK91" s="41"/>
      <c r="GL91" s="41"/>
      <c r="GM91" s="41"/>
      <c r="GN91" s="41"/>
    </row>
    <row r="92" spans="1:196" ht="19.2" x14ac:dyDescent="0.4">
      <c r="A92" s="57">
        <v>85</v>
      </c>
      <c r="B92" s="88">
        <f>사원명부!B92</f>
        <v>0</v>
      </c>
      <c r="C92" s="89">
        <f>사원명부!D92</f>
        <v>0</v>
      </c>
      <c r="D92" s="90" t="str">
        <f>IF(B92=0,"-",사원명부!E92)</f>
        <v>-</v>
      </c>
      <c r="E92" s="91" t="str">
        <f t="shared" si="7"/>
        <v>-</v>
      </c>
      <c r="F92" s="68"/>
      <c r="G92" s="69"/>
      <c r="H92" s="102">
        <f t="shared" si="8"/>
        <v>0</v>
      </c>
      <c r="I92" s="103">
        <f t="shared" si="9"/>
        <v>0</v>
      </c>
      <c r="J92" s="104">
        <f t="shared" si="10"/>
        <v>0</v>
      </c>
      <c r="K92" s="70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2"/>
      <c r="W92" s="110">
        <f t="shared" si="11"/>
        <v>0</v>
      </c>
      <c r="X92" s="114"/>
      <c r="Y92" s="73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41"/>
      <c r="CI92" s="41"/>
      <c r="CJ92" s="41"/>
      <c r="CK92" s="41"/>
      <c r="CL92" s="41"/>
      <c r="CM92" s="41"/>
      <c r="CN92" s="41"/>
      <c r="CO92" s="41"/>
      <c r="CP92" s="41"/>
      <c r="CQ92" s="41"/>
      <c r="CR92" s="41"/>
      <c r="CS92" s="41"/>
      <c r="CT92" s="41"/>
      <c r="CU92" s="41"/>
      <c r="CV92" s="41"/>
      <c r="CW92" s="41"/>
      <c r="CX92" s="41"/>
      <c r="CY92" s="41"/>
      <c r="CZ92" s="41"/>
      <c r="DA92" s="41"/>
      <c r="DB92" s="41"/>
      <c r="DC92" s="41"/>
      <c r="DD92" s="41"/>
      <c r="DE92" s="41"/>
      <c r="DF92" s="41"/>
      <c r="DG92" s="41"/>
      <c r="DH92" s="41"/>
      <c r="DI92" s="41"/>
      <c r="DJ92" s="41"/>
      <c r="DK92" s="41"/>
      <c r="DL92" s="41"/>
      <c r="DM92" s="41"/>
      <c r="DN92" s="41"/>
      <c r="DO92" s="41"/>
      <c r="DP92" s="41"/>
      <c r="DQ92" s="41"/>
      <c r="DR92" s="41"/>
      <c r="DS92" s="41"/>
      <c r="DT92" s="41"/>
      <c r="DU92" s="41"/>
      <c r="DV92" s="41"/>
      <c r="DW92" s="41"/>
      <c r="DX92" s="41"/>
      <c r="DY92" s="41"/>
      <c r="DZ92" s="41"/>
      <c r="EA92" s="41"/>
      <c r="EB92" s="41"/>
      <c r="EC92" s="41"/>
      <c r="ED92" s="41"/>
      <c r="EE92" s="41"/>
      <c r="EF92" s="41"/>
      <c r="EG92" s="41"/>
      <c r="EH92" s="41"/>
      <c r="EI92" s="41"/>
      <c r="EJ92" s="41"/>
      <c r="EK92" s="41"/>
      <c r="EL92" s="41"/>
      <c r="EM92" s="41"/>
      <c r="EN92" s="41"/>
      <c r="EO92" s="41"/>
      <c r="EP92" s="41"/>
      <c r="EQ92" s="41"/>
      <c r="ER92" s="41"/>
      <c r="ES92" s="41"/>
      <c r="ET92" s="41"/>
      <c r="EU92" s="41"/>
      <c r="EV92" s="41"/>
      <c r="EW92" s="41"/>
      <c r="EX92" s="41"/>
      <c r="EY92" s="41"/>
      <c r="EZ92" s="41"/>
      <c r="FA92" s="41"/>
      <c r="FB92" s="41"/>
      <c r="FC92" s="41"/>
      <c r="FD92" s="41"/>
      <c r="FE92" s="41"/>
      <c r="FF92" s="41"/>
      <c r="FG92" s="41"/>
      <c r="FH92" s="41"/>
      <c r="FI92" s="41"/>
      <c r="FJ92" s="41"/>
      <c r="FK92" s="41"/>
      <c r="FL92" s="41"/>
      <c r="FM92" s="41"/>
      <c r="FN92" s="41"/>
      <c r="FO92" s="41"/>
      <c r="FP92" s="41"/>
      <c r="FQ92" s="41"/>
      <c r="FR92" s="41"/>
      <c r="FS92" s="41"/>
      <c r="FT92" s="41"/>
      <c r="FU92" s="41"/>
      <c r="FV92" s="41"/>
      <c r="FW92" s="41"/>
      <c r="FX92" s="41"/>
      <c r="FY92" s="41"/>
      <c r="FZ92" s="41"/>
      <c r="GA92" s="41"/>
      <c r="GB92" s="41"/>
      <c r="GC92" s="41"/>
      <c r="GD92" s="41"/>
      <c r="GE92" s="41"/>
      <c r="GF92" s="41"/>
      <c r="GG92" s="41"/>
      <c r="GH92" s="41"/>
      <c r="GI92" s="41"/>
      <c r="GJ92" s="41"/>
      <c r="GK92" s="41"/>
      <c r="GL92" s="41"/>
      <c r="GM92" s="41"/>
      <c r="GN92" s="41"/>
    </row>
    <row r="93" spans="1:196" ht="19.2" x14ac:dyDescent="0.4">
      <c r="A93" s="57">
        <v>86</v>
      </c>
      <c r="B93" s="88">
        <f>사원명부!B93</f>
        <v>0</v>
      </c>
      <c r="C93" s="89">
        <f>사원명부!D93</f>
        <v>0</v>
      </c>
      <c r="D93" s="90" t="str">
        <f>IF(B93=0,"-",사원명부!E93)</f>
        <v>-</v>
      </c>
      <c r="E93" s="91" t="str">
        <f t="shared" si="7"/>
        <v>-</v>
      </c>
      <c r="F93" s="68"/>
      <c r="G93" s="69"/>
      <c r="H93" s="102">
        <f t="shared" si="8"/>
        <v>0</v>
      </c>
      <c r="I93" s="103">
        <f t="shared" si="9"/>
        <v>0</v>
      </c>
      <c r="J93" s="104">
        <f t="shared" si="10"/>
        <v>0</v>
      </c>
      <c r="K93" s="70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2"/>
      <c r="W93" s="110">
        <f t="shared" si="11"/>
        <v>0</v>
      </c>
      <c r="X93" s="114"/>
      <c r="Y93" s="73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  <c r="CF93" s="41"/>
      <c r="CG93" s="41"/>
      <c r="CH93" s="41"/>
      <c r="CI93" s="41"/>
      <c r="CJ93" s="41"/>
      <c r="CK93" s="41"/>
      <c r="CL93" s="41"/>
      <c r="CM93" s="41"/>
      <c r="CN93" s="41"/>
      <c r="CO93" s="41"/>
      <c r="CP93" s="41"/>
      <c r="CQ93" s="41"/>
      <c r="CR93" s="41"/>
      <c r="CS93" s="41"/>
      <c r="CT93" s="41"/>
      <c r="CU93" s="41"/>
      <c r="CV93" s="41"/>
      <c r="CW93" s="41"/>
      <c r="CX93" s="41"/>
      <c r="CY93" s="41"/>
      <c r="CZ93" s="41"/>
      <c r="DA93" s="41"/>
      <c r="DB93" s="41"/>
      <c r="DC93" s="41"/>
      <c r="DD93" s="41"/>
      <c r="DE93" s="41"/>
      <c r="DF93" s="41"/>
      <c r="DG93" s="41"/>
      <c r="DH93" s="41"/>
      <c r="DI93" s="41"/>
      <c r="DJ93" s="41"/>
      <c r="DK93" s="41"/>
      <c r="DL93" s="41"/>
      <c r="DM93" s="41"/>
      <c r="DN93" s="41"/>
      <c r="DO93" s="41"/>
      <c r="DP93" s="41"/>
      <c r="DQ93" s="41"/>
      <c r="DR93" s="41"/>
      <c r="DS93" s="41"/>
      <c r="DT93" s="41"/>
      <c r="DU93" s="41"/>
      <c r="DV93" s="41"/>
      <c r="DW93" s="41"/>
      <c r="DX93" s="41"/>
      <c r="DY93" s="41"/>
      <c r="DZ93" s="41"/>
      <c r="EA93" s="41"/>
      <c r="EB93" s="41"/>
      <c r="EC93" s="41"/>
      <c r="ED93" s="41"/>
      <c r="EE93" s="41"/>
      <c r="EF93" s="41"/>
      <c r="EG93" s="41"/>
      <c r="EH93" s="41"/>
      <c r="EI93" s="41"/>
      <c r="EJ93" s="41"/>
      <c r="EK93" s="41"/>
      <c r="EL93" s="41"/>
      <c r="EM93" s="41"/>
      <c r="EN93" s="41"/>
      <c r="EO93" s="41"/>
      <c r="EP93" s="41"/>
      <c r="EQ93" s="41"/>
      <c r="ER93" s="41"/>
      <c r="ES93" s="41"/>
      <c r="ET93" s="41"/>
      <c r="EU93" s="41"/>
      <c r="EV93" s="41"/>
      <c r="EW93" s="41"/>
      <c r="EX93" s="41"/>
      <c r="EY93" s="41"/>
      <c r="EZ93" s="41"/>
      <c r="FA93" s="41"/>
      <c r="FB93" s="41"/>
      <c r="FC93" s="41"/>
      <c r="FD93" s="41"/>
      <c r="FE93" s="41"/>
      <c r="FF93" s="41"/>
      <c r="FG93" s="41"/>
      <c r="FH93" s="41"/>
      <c r="FI93" s="41"/>
      <c r="FJ93" s="41"/>
      <c r="FK93" s="41"/>
      <c r="FL93" s="41"/>
      <c r="FM93" s="41"/>
      <c r="FN93" s="41"/>
      <c r="FO93" s="41"/>
      <c r="FP93" s="41"/>
      <c r="FQ93" s="41"/>
      <c r="FR93" s="41"/>
      <c r="FS93" s="41"/>
      <c r="FT93" s="41"/>
      <c r="FU93" s="41"/>
      <c r="FV93" s="41"/>
      <c r="FW93" s="41"/>
      <c r="FX93" s="41"/>
      <c r="FY93" s="41"/>
      <c r="FZ93" s="41"/>
      <c r="GA93" s="41"/>
      <c r="GB93" s="41"/>
      <c r="GC93" s="41"/>
      <c r="GD93" s="41"/>
      <c r="GE93" s="41"/>
      <c r="GF93" s="41"/>
      <c r="GG93" s="41"/>
      <c r="GH93" s="41"/>
      <c r="GI93" s="41"/>
      <c r="GJ93" s="41"/>
      <c r="GK93" s="41"/>
      <c r="GL93" s="41"/>
      <c r="GM93" s="41"/>
      <c r="GN93" s="41"/>
    </row>
    <row r="94" spans="1:196" ht="19.2" x14ac:dyDescent="0.4">
      <c r="A94" s="57">
        <v>87</v>
      </c>
      <c r="B94" s="88">
        <f>사원명부!B94</f>
        <v>0</v>
      </c>
      <c r="C94" s="89">
        <f>사원명부!D94</f>
        <v>0</v>
      </c>
      <c r="D94" s="90" t="str">
        <f>IF(B94=0,"-",사원명부!E94)</f>
        <v>-</v>
      </c>
      <c r="E94" s="91" t="str">
        <f t="shared" si="7"/>
        <v>-</v>
      </c>
      <c r="F94" s="68"/>
      <c r="G94" s="69"/>
      <c r="H94" s="102">
        <f t="shared" si="8"/>
        <v>0</v>
      </c>
      <c r="I94" s="103">
        <f t="shared" si="9"/>
        <v>0</v>
      </c>
      <c r="J94" s="104">
        <f t="shared" si="10"/>
        <v>0</v>
      </c>
      <c r="K94" s="70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2"/>
      <c r="W94" s="110">
        <f t="shared" si="11"/>
        <v>0</v>
      </c>
      <c r="X94" s="114"/>
      <c r="Y94" s="73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  <c r="CF94" s="41"/>
      <c r="CG94" s="41"/>
      <c r="CH94" s="41"/>
      <c r="CI94" s="41"/>
      <c r="CJ94" s="41"/>
      <c r="CK94" s="41"/>
      <c r="CL94" s="41"/>
      <c r="CM94" s="41"/>
      <c r="CN94" s="41"/>
      <c r="CO94" s="41"/>
      <c r="CP94" s="41"/>
      <c r="CQ94" s="41"/>
      <c r="CR94" s="41"/>
      <c r="CS94" s="41"/>
      <c r="CT94" s="41"/>
      <c r="CU94" s="41"/>
      <c r="CV94" s="41"/>
      <c r="CW94" s="41"/>
      <c r="CX94" s="41"/>
      <c r="CY94" s="41"/>
      <c r="CZ94" s="41"/>
      <c r="DA94" s="41"/>
      <c r="DB94" s="41"/>
      <c r="DC94" s="41"/>
      <c r="DD94" s="41"/>
      <c r="DE94" s="41"/>
      <c r="DF94" s="41"/>
      <c r="DG94" s="41"/>
      <c r="DH94" s="41"/>
      <c r="DI94" s="41"/>
      <c r="DJ94" s="41"/>
      <c r="DK94" s="41"/>
      <c r="DL94" s="41"/>
      <c r="DM94" s="41"/>
      <c r="DN94" s="41"/>
      <c r="DO94" s="41"/>
      <c r="DP94" s="41"/>
      <c r="DQ94" s="41"/>
      <c r="DR94" s="41"/>
      <c r="DS94" s="41"/>
      <c r="DT94" s="41"/>
      <c r="DU94" s="41"/>
      <c r="DV94" s="41"/>
      <c r="DW94" s="41"/>
      <c r="DX94" s="41"/>
      <c r="DY94" s="41"/>
      <c r="DZ94" s="41"/>
      <c r="EA94" s="41"/>
      <c r="EB94" s="41"/>
      <c r="EC94" s="41"/>
      <c r="ED94" s="41"/>
      <c r="EE94" s="41"/>
      <c r="EF94" s="41"/>
      <c r="EG94" s="41"/>
      <c r="EH94" s="41"/>
      <c r="EI94" s="41"/>
      <c r="EJ94" s="41"/>
      <c r="EK94" s="41"/>
      <c r="EL94" s="41"/>
      <c r="EM94" s="41"/>
      <c r="EN94" s="41"/>
      <c r="EO94" s="41"/>
      <c r="EP94" s="41"/>
      <c r="EQ94" s="41"/>
      <c r="ER94" s="41"/>
      <c r="ES94" s="41"/>
      <c r="ET94" s="41"/>
      <c r="EU94" s="41"/>
      <c r="EV94" s="41"/>
      <c r="EW94" s="41"/>
      <c r="EX94" s="41"/>
      <c r="EY94" s="41"/>
      <c r="EZ94" s="41"/>
      <c r="FA94" s="41"/>
      <c r="FB94" s="41"/>
      <c r="FC94" s="41"/>
      <c r="FD94" s="41"/>
      <c r="FE94" s="41"/>
      <c r="FF94" s="41"/>
      <c r="FG94" s="41"/>
      <c r="FH94" s="41"/>
      <c r="FI94" s="41"/>
      <c r="FJ94" s="41"/>
      <c r="FK94" s="41"/>
      <c r="FL94" s="41"/>
      <c r="FM94" s="41"/>
      <c r="FN94" s="41"/>
      <c r="FO94" s="41"/>
      <c r="FP94" s="41"/>
      <c r="FQ94" s="41"/>
      <c r="FR94" s="41"/>
      <c r="FS94" s="41"/>
      <c r="FT94" s="41"/>
      <c r="FU94" s="41"/>
      <c r="FV94" s="41"/>
      <c r="FW94" s="41"/>
      <c r="FX94" s="41"/>
      <c r="FY94" s="41"/>
      <c r="FZ94" s="41"/>
      <c r="GA94" s="41"/>
      <c r="GB94" s="41"/>
      <c r="GC94" s="41"/>
      <c r="GD94" s="41"/>
      <c r="GE94" s="41"/>
      <c r="GF94" s="41"/>
      <c r="GG94" s="41"/>
      <c r="GH94" s="41"/>
      <c r="GI94" s="41"/>
      <c r="GJ94" s="41"/>
      <c r="GK94" s="41"/>
      <c r="GL94" s="41"/>
      <c r="GM94" s="41"/>
      <c r="GN94" s="41"/>
    </row>
    <row r="95" spans="1:196" ht="19.2" x14ac:dyDescent="0.4">
      <c r="A95" s="57">
        <v>88</v>
      </c>
      <c r="B95" s="88">
        <f>사원명부!B95</f>
        <v>0</v>
      </c>
      <c r="C95" s="89">
        <f>사원명부!D95</f>
        <v>0</v>
      </c>
      <c r="D95" s="90" t="str">
        <f>IF(B95=0,"-",사원명부!E95)</f>
        <v>-</v>
      </c>
      <c r="E95" s="91" t="str">
        <f t="shared" si="7"/>
        <v>-</v>
      </c>
      <c r="F95" s="68"/>
      <c r="G95" s="69"/>
      <c r="H95" s="102">
        <f t="shared" si="8"/>
        <v>0</v>
      </c>
      <c r="I95" s="103">
        <f t="shared" si="9"/>
        <v>0</v>
      </c>
      <c r="J95" s="104">
        <f t="shared" si="10"/>
        <v>0</v>
      </c>
      <c r="K95" s="70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2"/>
      <c r="W95" s="110">
        <f t="shared" si="11"/>
        <v>0</v>
      </c>
      <c r="X95" s="114"/>
      <c r="Y95" s="73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41"/>
      <c r="CF95" s="41"/>
      <c r="CG95" s="41"/>
      <c r="CH95" s="41"/>
      <c r="CI95" s="41"/>
      <c r="CJ95" s="41"/>
      <c r="CK95" s="41"/>
      <c r="CL95" s="41"/>
      <c r="CM95" s="41"/>
      <c r="CN95" s="41"/>
      <c r="CO95" s="41"/>
      <c r="CP95" s="41"/>
      <c r="CQ95" s="41"/>
      <c r="CR95" s="41"/>
      <c r="CS95" s="41"/>
      <c r="CT95" s="41"/>
      <c r="CU95" s="41"/>
      <c r="CV95" s="41"/>
      <c r="CW95" s="41"/>
      <c r="CX95" s="41"/>
      <c r="CY95" s="41"/>
      <c r="CZ95" s="41"/>
      <c r="DA95" s="41"/>
      <c r="DB95" s="41"/>
      <c r="DC95" s="41"/>
      <c r="DD95" s="41"/>
      <c r="DE95" s="41"/>
      <c r="DF95" s="41"/>
      <c r="DG95" s="41"/>
      <c r="DH95" s="41"/>
      <c r="DI95" s="41"/>
      <c r="DJ95" s="41"/>
      <c r="DK95" s="41"/>
      <c r="DL95" s="41"/>
      <c r="DM95" s="41"/>
      <c r="DN95" s="41"/>
      <c r="DO95" s="41"/>
      <c r="DP95" s="41"/>
      <c r="DQ95" s="41"/>
      <c r="DR95" s="41"/>
      <c r="DS95" s="41"/>
      <c r="DT95" s="41"/>
      <c r="DU95" s="41"/>
      <c r="DV95" s="41"/>
      <c r="DW95" s="41"/>
      <c r="DX95" s="41"/>
      <c r="DY95" s="41"/>
      <c r="DZ95" s="41"/>
      <c r="EA95" s="41"/>
      <c r="EB95" s="41"/>
      <c r="EC95" s="41"/>
      <c r="ED95" s="41"/>
      <c r="EE95" s="41"/>
      <c r="EF95" s="41"/>
      <c r="EG95" s="41"/>
      <c r="EH95" s="41"/>
      <c r="EI95" s="41"/>
      <c r="EJ95" s="41"/>
      <c r="EK95" s="41"/>
      <c r="EL95" s="41"/>
      <c r="EM95" s="41"/>
      <c r="EN95" s="41"/>
      <c r="EO95" s="41"/>
      <c r="EP95" s="41"/>
      <c r="EQ95" s="41"/>
      <c r="ER95" s="41"/>
      <c r="ES95" s="41"/>
      <c r="ET95" s="41"/>
      <c r="EU95" s="41"/>
      <c r="EV95" s="41"/>
      <c r="EW95" s="41"/>
      <c r="EX95" s="41"/>
      <c r="EY95" s="41"/>
      <c r="EZ95" s="41"/>
      <c r="FA95" s="41"/>
      <c r="FB95" s="41"/>
      <c r="FC95" s="41"/>
      <c r="FD95" s="41"/>
      <c r="FE95" s="41"/>
      <c r="FF95" s="41"/>
      <c r="FG95" s="41"/>
      <c r="FH95" s="41"/>
      <c r="FI95" s="41"/>
      <c r="FJ95" s="41"/>
      <c r="FK95" s="41"/>
      <c r="FL95" s="41"/>
      <c r="FM95" s="41"/>
      <c r="FN95" s="41"/>
      <c r="FO95" s="41"/>
      <c r="FP95" s="41"/>
      <c r="FQ95" s="41"/>
      <c r="FR95" s="41"/>
      <c r="FS95" s="41"/>
      <c r="FT95" s="41"/>
      <c r="FU95" s="41"/>
      <c r="FV95" s="41"/>
      <c r="FW95" s="41"/>
      <c r="FX95" s="41"/>
      <c r="FY95" s="41"/>
      <c r="FZ95" s="41"/>
      <c r="GA95" s="41"/>
      <c r="GB95" s="41"/>
      <c r="GC95" s="41"/>
      <c r="GD95" s="41"/>
      <c r="GE95" s="41"/>
      <c r="GF95" s="41"/>
      <c r="GG95" s="41"/>
      <c r="GH95" s="41"/>
      <c r="GI95" s="41"/>
      <c r="GJ95" s="41"/>
      <c r="GK95" s="41"/>
      <c r="GL95" s="41"/>
      <c r="GM95" s="41"/>
      <c r="GN95" s="41"/>
    </row>
    <row r="96" spans="1:196" ht="19.2" x14ac:dyDescent="0.4">
      <c r="A96" s="57">
        <v>89</v>
      </c>
      <c r="B96" s="88">
        <f>사원명부!B96</f>
        <v>0</v>
      </c>
      <c r="C96" s="89">
        <f>사원명부!D96</f>
        <v>0</v>
      </c>
      <c r="D96" s="90" t="str">
        <f>IF(B96=0,"-",사원명부!E96)</f>
        <v>-</v>
      </c>
      <c r="E96" s="91" t="str">
        <f t="shared" si="7"/>
        <v>-</v>
      </c>
      <c r="F96" s="68"/>
      <c r="G96" s="69"/>
      <c r="H96" s="102">
        <f t="shared" si="8"/>
        <v>0</v>
      </c>
      <c r="I96" s="103">
        <f t="shared" si="9"/>
        <v>0</v>
      </c>
      <c r="J96" s="104">
        <f t="shared" si="10"/>
        <v>0</v>
      </c>
      <c r="K96" s="70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2"/>
      <c r="W96" s="110">
        <f t="shared" si="11"/>
        <v>0</v>
      </c>
      <c r="X96" s="114"/>
      <c r="Y96" s="73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  <c r="CD96" s="41"/>
      <c r="CE96" s="41"/>
      <c r="CF96" s="41"/>
      <c r="CG96" s="41"/>
      <c r="CH96" s="41"/>
      <c r="CI96" s="41"/>
      <c r="CJ96" s="41"/>
      <c r="CK96" s="41"/>
      <c r="CL96" s="41"/>
      <c r="CM96" s="41"/>
      <c r="CN96" s="41"/>
      <c r="CO96" s="41"/>
      <c r="CP96" s="41"/>
      <c r="CQ96" s="41"/>
      <c r="CR96" s="41"/>
      <c r="CS96" s="41"/>
      <c r="CT96" s="41"/>
      <c r="CU96" s="41"/>
      <c r="CV96" s="41"/>
      <c r="CW96" s="41"/>
      <c r="CX96" s="41"/>
      <c r="CY96" s="41"/>
      <c r="CZ96" s="41"/>
      <c r="DA96" s="41"/>
      <c r="DB96" s="41"/>
      <c r="DC96" s="41"/>
      <c r="DD96" s="41"/>
      <c r="DE96" s="41"/>
      <c r="DF96" s="41"/>
      <c r="DG96" s="41"/>
      <c r="DH96" s="41"/>
      <c r="DI96" s="41"/>
      <c r="DJ96" s="41"/>
      <c r="DK96" s="41"/>
      <c r="DL96" s="41"/>
      <c r="DM96" s="41"/>
      <c r="DN96" s="41"/>
      <c r="DO96" s="41"/>
      <c r="DP96" s="41"/>
      <c r="DQ96" s="41"/>
      <c r="DR96" s="41"/>
      <c r="DS96" s="41"/>
      <c r="DT96" s="41"/>
      <c r="DU96" s="41"/>
      <c r="DV96" s="41"/>
      <c r="DW96" s="41"/>
      <c r="DX96" s="41"/>
      <c r="DY96" s="41"/>
      <c r="DZ96" s="41"/>
      <c r="EA96" s="41"/>
      <c r="EB96" s="41"/>
      <c r="EC96" s="41"/>
      <c r="ED96" s="41"/>
      <c r="EE96" s="41"/>
      <c r="EF96" s="41"/>
      <c r="EG96" s="41"/>
      <c r="EH96" s="41"/>
      <c r="EI96" s="41"/>
      <c r="EJ96" s="41"/>
      <c r="EK96" s="41"/>
      <c r="EL96" s="41"/>
      <c r="EM96" s="41"/>
      <c r="EN96" s="41"/>
      <c r="EO96" s="41"/>
      <c r="EP96" s="41"/>
      <c r="EQ96" s="41"/>
      <c r="ER96" s="41"/>
      <c r="ES96" s="41"/>
      <c r="ET96" s="41"/>
      <c r="EU96" s="41"/>
      <c r="EV96" s="41"/>
      <c r="EW96" s="41"/>
      <c r="EX96" s="41"/>
      <c r="EY96" s="41"/>
      <c r="EZ96" s="41"/>
      <c r="FA96" s="41"/>
      <c r="FB96" s="41"/>
      <c r="FC96" s="41"/>
      <c r="FD96" s="41"/>
      <c r="FE96" s="41"/>
      <c r="FF96" s="41"/>
      <c r="FG96" s="41"/>
      <c r="FH96" s="41"/>
      <c r="FI96" s="41"/>
      <c r="FJ96" s="41"/>
      <c r="FK96" s="41"/>
      <c r="FL96" s="41"/>
      <c r="FM96" s="41"/>
      <c r="FN96" s="41"/>
      <c r="FO96" s="41"/>
      <c r="FP96" s="41"/>
      <c r="FQ96" s="41"/>
      <c r="FR96" s="41"/>
      <c r="FS96" s="41"/>
      <c r="FT96" s="41"/>
      <c r="FU96" s="41"/>
      <c r="FV96" s="41"/>
      <c r="FW96" s="41"/>
      <c r="FX96" s="41"/>
      <c r="FY96" s="41"/>
      <c r="FZ96" s="41"/>
      <c r="GA96" s="41"/>
      <c r="GB96" s="41"/>
      <c r="GC96" s="41"/>
      <c r="GD96" s="41"/>
      <c r="GE96" s="41"/>
      <c r="GF96" s="41"/>
      <c r="GG96" s="41"/>
      <c r="GH96" s="41"/>
      <c r="GI96" s="41"/>
      <c r="GJ96" s="41"/>
      <c r="GK96" s="41"/>
      <c r="GL96" s="41"/>
      <c r="GM96" s="41"/>
      <c r="GN96" s="41"/>
    </row>
    <row r="97" spans="1:196" ht="19.2" x14ac:dyDescent="0.4">
      <c r="A97" s="57">
        <v>90</v>
      </c>
      <c r="B97" s="88">
        <f>사원명부!B97</f>
        <v>0</v>
      </c>
      <c r="C97" s="89">
        <f>사원명부!D97</f>
        <v>0</v>
      </c>
      <c r="D97" s="90" t="str">
        <f>IF(B97=0,"-",사원명부!E97)</f>
        <v>-</v>
      </c>
      <c r="E97" s="91" t="str">
        <f t="shared" si="7"/>
        <v>-</v>
      </c>
      <c r="F97" s="68"/>
      <c r="G97" s="69"/>
      <c r="H97" s="102">
        <f t="shared" si="8"/>
        <v>0</v>
      </c>
      <c r="I97" s="103">
        <f t="shared" si="9"/>
        <v>0</v>
      </c>
      <c r="J97" s="104">
        <f t="shared" si="10"/>
        <v>0</v>
      </c>
      <c r="K97" s="70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2"/>
      <c r="W97" s="110">
        <f t="shared" si="11"/>
        <v>0</v>
      </c>
      <c r="X97" s="114"/>
      <c r="Y97" s="73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41"/>
      <c r="BR97" s="41"/>
      <c r="BS97" s="41"/>
      <c r="BT97" s="41"/>
      <c r="BU97" s="41"/>
      <c r="BV97" s="41"/>
      <c r="BW97" s="41"/>
      <c r="BX97" s="41"/>
      <c r="BY97" s="41"/>
      <c r="BZ97" s="41"/>
      <c r="CA97" s="41"/>
      <c r="CB97" s="41"/>
      <c r="CC97" s="41"/>
      <c r="CD97" s="41"/>
      <c r="CE97" s="41"/>
      <c r="CF97" s="41"/>
      <c r="CG97" s="41"/>
      <c r="CH97" s="41"/>
      <c r="CI97" s="41"/>
      <c r="CJ97" s="41"/>
      <c r="CK97" s="41"/>
      <c r="CL97" s="41"/>
      <c r="CM97" s="41"/>
      <c r="CN97" s="41"/>
      <c r="CO97" s="41"/>
      <c r="CP97" s="41"/>
      <c r="CQ97" s="41"/>
      <c r="CR97" s="41"/>
      <c r="CS97" s="41"/>
      <c r="CT97" s="41"/>
      <c r="CU97" s="41"/>
      <c r="CV97" s="41"/>
      <c r="CW97" s="41"/>
      <c r="CX97" s="41"/>
      <c r="CY97" s="41"/>
      <c r="CZ97" s="41"/>
      <c r="DA97" s="41"/>
      <c r="DB97" s="41"/>
      <c r="DC97" s="41"/>
      <c r="DD97" s="41"/>
      <c r="DE97" s="41"/>
      <c r="DF97" s="41"/>
      <c r="DG97" s="41"/>
      <c r="DH97" s="41"/>
      <c r="DI97" s="41"/>
      <c r="DJ97" s="41"/>
      <c r="DK97" s="41"/>
      <c r="DL97" s="41"/>
      <c r="DM97" s="41"/>
      <c r="DN97" s="41"/>
      <c r="DO97" s="41"/>
      <c r="DP97" s="41"/>
      <c r="DQ97" s="41"/>
      <c r="DR97" s="41"/>
      <c r="DS97" s="41"/>
      <c r="DT97" s="41"/>
      <c r="DU97" s="41"/>
      <c r="DV97" s="41"/>
      <c r="DW97" s="41"/>
      <c r="DX97" s="41"/>
      <c r="DY97" s="41"/>
      <c r="DZ97" s="41"/>
      <c r="EA97" s="41"/>
      <c r="EB97" s="41"/>
      <c r="EC97" s="41"/>
      <c r="ED97" s="41"/>
      <c r="EE97" s="41"/>
      <c r="EF97" s="41"/>
      <c r="EG97" s="41"/>
      <c r="EH97" s="41"/>
      <c r="EI97" s="41"/>
      <c r="EJ97" s="41"/>
      <c r="EK97" s="41"/>
      <c r="EL97" s="41"/>
      <c r="EM97" s="41"/>
      <c r="EN97" s="41"/>
      <c r="EO97" s="41"/>
      <c r="EP97" s="41"/>
      <c r="EQ97" s="41"/>
      <c r="ER97" s="41"/>
      <c r="ES97" s="41"/>
      <c r="ET97" s="41"/>
      <c r="EU97" s="41"/>
      <c r="EV97" s="41"/>
      <c r="EW97" s="41"/>
      <c r="EX97" s="41"/>
      <c r="EY97" s="41"/>
      <c r="EZ97" s="41"/>
      <c r="FA97" s="41"/>
      <c r="FB97" s="41"/>
      <c r="FC97" s="41"/>
      <c r="FD97" s="41"/>
      <c r="FE97" s="41"/>
      <c r="FF97" s="41"/>
      <c r="FG97" s="41"/>
      <c r="FH97" s="41"/>
      <c r="FI97" s="41"/>
      <c r="FJ97" s="41"/>
      <c r="FK97" s="41"/>
      <c r="FL97" s="41"/>
      <c r="FM97" s="41"/>
      <c r="FN97" s="41"/>
      <c r="FO97" s="41"/>
      <c r="FP97" s="41"/>
      <c r="FQ97" s="41"/>
      <c r="FR97" s="41"/>
      <c r="FS97" s="41"/>
      <c r="FT97" s="41"/>
      <c r="FU97" s="41"/>
      <c r="FV97" s="41"/>
      <c r="FW97" s="41"/>
      <c r="FX97" s="41"/>
      <c r="FY97" s="41"/>
      <c r="FZ97" s="41"/>
      <c r="GA97" s="41"/>
      <c r="GB97" s="41"/>
      <c r="GC97" s="41"/>
      <c r="GD97" s="41"/>
      <c r="GE97" s="41"/>
      <c r="GF97" s="41"/>
      <c r="GG97" s="41"/>
      <c r="GH97" s="41"/>
      <c r="GI97" s="41"/>
      <c r="GJ97" s="41"/>
      <c r="GK97" s="41"/>
      <c r="GL97" s="41"/>
      <c r="GM97" s="41"/>
      <c r="GN97" s="41"/>
    </row>
    <row r="98" spans="1:196" ht="19.2" x14ac:dyDescent="0.4">
      <c r="A98" s="57">
        <v>91</v>
      </c>
      <c r="B98" s="88">
        <f>사원명부!B98</f>
        <v>0</v>
      </c>
      <c r="C98" s="89">
        <f>사원명부!D98</f>
        <v>0</v>
      </c>
      <c r="D98" s="90" t="str">
        <f>IF(B98=0,"-",사원명부!E98)</f>
        <v>-</v>
      </c>
      <c r="E98" s="91" t="str">
        <f t="shared" si="7"/>
        <v>-</v>
      </c>
      <c r="F98" s="68"/>
      <c r="G98" s="69"/>
      <c r="H98" s="102">
        <f t="shared" si="8"/>
        <v>0</v>
      </c>
      <c r="I98" s="103">
        <f t="shared" si="9"/>
        <v>0</v>
      </c>
      <c r="J98" s="104">
        <f t="shared" si="10"/>
        <v>0</v>
      </c>
      <c r="K98" s="70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2"/>
      <c r="W98" s="110">
        <f t="shared" si="11"/>
        <v>0</v>
      </c>
      <c r="X98" s="114"/>
      <c r="Y98" s="73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41"/>
      <c r="DE98" s="41"/>
      <c r="DF98" s="41"/>
      <c r="DG98" s="41"/>
      <c r="DH98" s="41"/>
      <c r="DI98" s="41"/>
      <c r="DJ98" s="41"/>
      <c r="DK98" s="41"/>
      <c r="DL98" s="41"/>
      <c r="DM98" s="41"/>
      <c r="DN98" s="41"/>
      <c r="DO98" s="41"/>
      <c r="DP98" s="41"/>
      <c r="DQ98" s="41"/>
      <c r="DR98" s="41"/>
      <c r="DS98" s="41"/>
      <c r="DT98" s="41"/>
      <c r="DU98" s="41"/>
      <c r="DV98" s="41"/>
      <c r="DW98" s="41"/>
      <c r="DX98" s="41"/>
      <c r="DY98" s="41"/>
      <c r="DZ98" s="41"/>
      <c r="EA98" s="41"/>
      <c r="EB98" s="41"/>
      <c r="EC98" s="41"/>
      <c r="ED98" s="41"/>
      <c r="EE98" s="41"/>
      <c r="EF98" s="41"/>
      <c r="EG98" s="41"/>
      <c r="EH98" s="41"/>
      <c r="EI98" s="41"/>
      <c r="EJ98" s="41"/>
      <c r="EK98" s="41"/>
      <c r="EL98" s="41"/>
      <c r="EM98" s="41"/>
      <c r="EN98" s="41"/>
      <c r="EO98" s="41"/>
      <c r="EP98" s="41"/>
      <c r="EQ98" s="41"/>
      <c r="ER98" s="41"/>
      <c r="ES98" s="41"/>
      <c r="ET98" s="41"/>
      <c r="EU98" s="41"/>
      <c r="EV98" s="41"/>
      <c r="EW98" s="41"/>
      <c r="EX98" s="41"/>
      <c r="EY98" s="41"/>
      <c r="EZ98" s="41"/>
      <c r="FA98" s="41"/>
      <c r="FB98" s="41"/>
      <c r="FC98" s="41"/>
      <c r="FD98" s="41"/>
      <c r="FE98" s="41"/>
      <c r="FF98" s="41"/>
      <c r="FG98" s="41"/>
      <c r="FH98" s="41"/>
      <c r="FI98" s="41"/>
      <c r="FJ98" s="41"/>
      <c r="FK98" s="41"/>
      <c r="FL98" s="41"/>
      <c r="FM98" s="41"/>
      <c r="FN98" s="41"/>
      <c r="FO98" s="41"/>
      <c r="FP98" s="41"/>
      <c r="FQ98" s="41"/>
      <c r="FR98" s="41"/>
      <c r="FS98" s="41"/>
      <c r="FT98" s="41"/>
      <c r="FU98" s="41"/>
      <c r="FV98" s="41"/>
      <c r="FW98" s="41"/>
      <c r="FX98" s="41"/>
      <c r="FY98" s="41"/>
      <c r="FZ98" s="41"/>
      <c r="GA98" s="41"/>
      <c r="GB98" s="41"/>
      <c r="GC98" s="41"/>
      <c r="GD98" s="41"/>
      <c r="GE98" s="41"/>
      <c r="GF98" s="41"/>
      <c r="GG98" s="41"/>
      <c r="GH98" s="41"/>
      <c r="GI98" s="41"/>
      <c r="GJ98" s="41"/>
      <c r="GK98" s="41"/>
      <c r="GL98" s="41"/>
      <c r="GM98" s="41"/>
      <c r="GN98" s="41"/>
    </row>
    <row r="99" spans="1:196" ht="19.2" x14ac:dyDescent="0.4">
      <c r="A99" s="57">
        <v>92</v>
      </c>
      <c r="B99" s="88">
        <f>사원명부!B99</f>
        <v>0</v>
      </c>
      <c r="C99" s="89">
        <f>사원명부!D99</f>
        <v>0</v>
      </c>
      <c r="D99" s="90" t="str">
        <f>IF(B99=0,"-",사원명부!E99)</f>
        <v>-</v>
      </c>
      <c r="E99" s="91" t="str">
        <f t="shared" si="7"/>
        <v>-</v>
      </c>
      <c r="F99" s="68"/>
      <c r="G99" s="69"/>
      <c r="H99" s="102">
        <f t="shared" si="8"/>
        <v>0</v>
      </c>
      <c r="I99" s="103">
        <f t="shared" si="9"/>
        <v>0</v>
      </c>
      <c r="J99" s="104">
        <f t="shared" si="10"/>
        <v>0</v>
      </c>
      <c r="K99" s="70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2"/>
      <c r="W99" s="110">
        <f t="shared" si="11"/>
        <v>0</v>
      </c>
      <c r="X99" s="114"/>
      <c r="Y99" s="73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41"/>
      <c r="DE99" s="41"/>
      <c r="DF99" s="41"/>
      <c r="DG99" s="41"/>
      <c r="DH99" s="41"/>
      <c r="DI99" s="41"/>
      <c r="DJ99" s="41"/>
      <c r="DK99" s="41"/>
      <c r="DL99" s="41"/>
      <c r="DM99" s="41"/>
      <c r="DN99" s="41"/>
      <c r="DO99" s="41"/>
      <c r="DP99" s="41"/>
      <c r="DQ99" s="41"/>
      <c r="DR99" s="41"/>
      <c r="DS99" s="41"/>
      <c r="DT99" s="41"/>
      <c r="DU99" s="41"/>
      <c r="DV99" s="41"/>
      <c r="DW99" s="41"/>
      <c r="DX99" s="41"/>
      <c r="DY99" s="41"/>
      <c r="DZ99" s="41"/>
      <c r="EA99" s="41"/>
      <c r="EB99" s="41"/>
      <c r="EC99" s="41"/>
      <c r="ED99" s="41"/>
      <c r="EE99" s="41"/>
      <c r="EF99" s="41"/>
      <c r="EG99" s="41"/>
      <c r="EH99" s="41"/>
      <c r="EI99" s="41"/>
      <c r="EJ99" s="41"/>
      <c r="EK99" s="41"/>
      <c r="EL99" s="41"/>
      <c r="EM99" s="41"/>
      <c r="EN99" s="41"/>
      <c r="EO99" s="41"/>
      <c r="EP99" s="41"/>
      <c r="EQ99" s="41"/>
      <c r="ER99" s="41"/>
      <c r="ES99" s="41"/>
      <c r="ET99" s="41"/>
      <c r="EU99" s="41"/>
      <c r="EV99" s="41"/>
      <c r="EW99" s="41"/>
      <c r="EX99" s="41"/>
      <c r="EY99" s="41"/>
      <c r="EZ99" s="41"/>
      <c r="FA99" s="41"/>
      <c r="FB99" s="41"/>
      <c r="FC99" s="41"/>
      <c r="FD99" s="41"/>
      <c r="FE99" s="41"/>
      <c r="FF99" s="41"/>
      <c r="FG99" s="41"/>
      <c r="FH99" s="41"/>
      <c r="FI99" s="41"/>
      <c r="FJ99" s="41"/>
      <c r="FK99" s="41"/>
      <c r="FL99" s="41"/>
      <c r="FM99" s="41"/>
      <c r="FN99" s="41"/>
      <c r="FO99" s="41"/>
      <c r="FP99" s="41"/>
      <c r="FQ99" s="41"/>
      <c r="FR99" s="41"/>
      <c r="FS99" s="41"/>
      <c r="FT99" s="41"/>
      <c r="FU99" s="41"/>
      <c r="FV99" s="41"/>
      <c r="FW99" s="41"/>
      <c r="FX99" s="41"/>
      <c r="FY99" s="41"/>
      <c r="FZ99" s="41"/>
      <c r="GA99" s="41"/>
      <c r="GB99" s="41"/>
      <c r="GC99" s="41"/>
      <c r="GD99" s="41"/>
      <c r="GE99" s="41"/>
      <c r="GF99" s="41"/>
      <c r="GG99" s="41"/>
      <c r="GH99" s="41"/>
      <c r="GI99" s="41"/>
      <c r="GJ99" s="41"/>
      <c r="GK99" s="41"/>
      <c r="GL99" s="41"/>
      <c r="GM99" s="41"/>
      <c r="GN99" s="41"/>
    </row>
    <row r="100" spans="1:196" ht="19.2" x14ac:dyDescent="0.4">
      <c r="A100" s="57">
        <v>93</v>
      </c>
      <c r="B100" s="88">
        <f>사원명부!B100</f>
        <v>0</v>
      </c>
      <c r="C100" s="89">
        <f>사원명부!D100</f>
        <v>0</v>
      </c>
      <c r="D100" s="90" t="str">
        <f>IF(B100=0,"-",사원명부!E100)</f>
        <v>-</v>
      </c>
      <c r="E100" s="91" t="str">
        <f t="shared" si="7"/>
        <v>-</v>
      </c>
      <c r="F100" s="68"/>
      <c r="G100" s="69"/>
      <c r="H100" s="102">
        <f t="shared" si="8"/>
        <v>0</v>
      </c>
      <c r="I100" s="103">
        <f t="shared" si="9"/>
        <v>0</v>
      </c>
      <c r="J100" s="104">
        <f t="shared" si="10"/>
        <v>0</v>
      </c>
      <c r="K100" s="70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2"/>
      <c r="W100" s="110">
        <f t="shared" si="11"/>
        <v>0</v>
      </c>
      <c r="X100" s="114"/>
      <c r="Y100" s="73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41"/>
      <c r="DE100" s="41"/>
      <c r="DF100" s="41"/>
      <c r="DG100" s="41"/>
      <c r="DH100" s="41"/>
      <c r="DI100" s="41"/>
      <c r="DJ100" s="41"/>
      <c r="DK100" s="41"/>
      <c r="DL100" s="41"/>
      <c r="DM100" s="41"/>
      <c r="DN100" s="41"/>
      <c r="DO100" s="41"/>
      <c r="DP100" s="41"/>
      <c r="DQ100" s="41"/>
      <c r="DR100" s="41"/>
      <c r="DS100" s="41"/>
      <c r="DT100" s="41"/>
      <c r="DU100" s="41"/>
      <c r="DV100" s="41"/>
      <c r="DW100" s="41"/>
      <c r="DX100" s="41"/>
      <c r="DY100" s="41"/>
      <c r="DZ100" s="41"/>
      <c r="EA100" s="41"/>
      <c r="EB100" s="41"/>
      <c r="EC100" s="41"/>
      <c r="ED100" s="41"/>
      <c r="EE100" s="41"/>
      <c r="EF100" s="41"/>
      <c r="EG100" s="41"/>
      <c r="EH100" s="41"/>
      <c r="EI100" s="41"/>
      <c r="EJ100" s="41"/>
      <c r="EK100" s="41"/>
      <c r="EL100" s="41"/>
      <c r="EM100" s="41"/>
      <c r="EN100" s="41"/>
      <c r="EO100" s="41"/>
      <c r="EP100" s="41"/>
      <c r="EQ100" s="41"/>
      <c r="ER100" s="41"/>
      <c r="ES100" s="41"/>
      <c r="ET100" s="41"/>
      <c r="EU100" s="41"/>
      <c r="EV100" s="41"/>
      <c r="EW100" s="41"/>
      <c r="EX100" s="41"/>
      <c r="EY100" s="41"/>
      <c r="EZ100" s="41"/>
      <c r="FA100" s="41"/>
      <c r="FB100" s="41"/>
      <c r="FC100" s="41"/>
      <c r="FD100" s="41"/>
      <c r="FE100" s="41"/>
      <c r="FF100" s="41"/>
      <c r="FG100" s="41"/>
      <c r="FH100" s="41"/>
      <c r="FI100" s="41"/>
      <c r="FJ100" s="41"/>
      <c r="FK100" s="41"/>
      <c r="FL100" s="41"/>
      <c r="FM100" s="41"/>
      <c r="FN100" s="41"/>
      <c r="FO100" s="41"/>
      <c r="FP100" s="41"/>
      <c r="FQ100" s="41"/>
      <c r="FR100" s="41"/>
      <c r="FS100" s="41"/>
      <c r="FT100" s="41"/>
      <c r="FU100" s="41"/>
      <c r="FV100" s="41"/>
      <c r="FW100" s="41"/>
      <c r="FX100" s="41"/>
      <c r="FY100" s="41"/>
      <c r="FZ100" s="41"/>
      <c r="GA100" s="41"/>
      <c r="GB100" s="41"/>
      <c r="GC100" s="41"/>
      <c r="GD100" s="41"/>
      <c r="GE100" s="41"/>
      <c r="GF100" s="41"/>
      <c r="GG100" s="41"/>
      <c r="GH100" s="41"/>
      <c r="GI100" s="41"/>
      <c r="GJ100" s="41"/>
      <c r="GK100" s="41"/>
      <c r="GL100" s="41"/>
      <c r="GM100" s="41"/>
      <c r="GN100" s="41"/>
    </row>
    <row r="101" spans="1:196" ht="19.2" x14ac:dyDescent="0.4">
      <c r="A101" s="57">
        <v>94</v>
      </c>
      <c r="B101" s="88">
        <f>사원명부!B101</f>
        <v>0</v>
      </c>
      <c r="C101" s="89">
        <f>사원명부!D101</f>
        <v>0</v>
      </c>
      <c r="D101" s="90" t="str">
        <f>IF(B101=0,"-",사원명부!E101)</f>
        <v>-</v>
      </c>
      <c r="E101" s="91" t="str">
        <f t="shared" si="7"/>
        <v>-</v>
      </c>
      <c r="F101" s="68"/>
      <c r="G101" s="69"/>
      <c r="H101" s="102">
        <f t="shared" si="8"/>
        <v>0</v>
      </c>
      <c r="I101" s="103">
        <f t="shared" si="9"/>
        <v>0</v>
      </c>
      <c r="J101" s="104">
        <f t="shared" si="10"/>
        <v>0</v>
      </c>
      <c r="K101" s="70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2"/>
      <c r="W101" s="110">
        <f t="shared" si="11"/>
        <v>0</v>
      </c>
      <c r="X101" s="114"/>
      <c r="Y101" s="73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1"/>
      <c r="EQ101" s="41"/>
      <c r="ER101" s="41"/>
      <c r="ES101" s="41"/>
      <c r="ET101" s="41"/>
      <c r="EU101" s="41"/>
      <c r="EV101" s="41"/>
      <c r="EW101" s="41"/>
      <c r="EX101" s="41"/>
      <c r="EY101" s="41"/>
      <c r="EZ101" s="41"/>
      <c r="FA101" s="41"/>
      <c r="FB101" s="41"/>
      <c r="FC101" s="41"/>
      <c r="FD101" s="41"/>
      <c r="FE101" s="41"/>
      <c r="FF101" s="41"/>
      <c r="FG101" s="41"/>
      <c r="FH101" s="41"/>
      <c r="FI101" s="41"/>
      <c r="FJ101" s="41"/>
      <c r="FK101" s="41"/>
      <c r="FL101" s="41"/>
      <c r="FM101" s="41"/>
      <c r="FN101" s="41"/>
      <c r="FO101" s="41"/>
      <c r="FP101" s="41"/>
      <c r="FQ101" s="41"/>
      <c r="FR101" s="41"/>
      <c r="FS101" s="41"/>
      <c r="FT101" s="41"/>
      <c r="FU101" s="41"/>
      <c r="FV101" s="41"/>
      <c r="FW101" s="41"/>
      <c r="FX101" s="41"/>
      <c r="FY101" s="41"/>
      <c r="FZ101" s="41"/>
      <c r="GA101" s="41"/>
      <c r="GB101" s="41"/>
      <c r="GC101" s="41"/>
      <c r="GD101" s="41"/>
      <c r="GE101" s="41"/>
      <c r="GF101" s="41"/>
      <c r="GG101" s="41"/>
      <c r="GH101" s="41"/>
      <c r="GI101" s="41"/>
      <c r="GJ101" s="41"/>
      <c r="GK101" s="41"/>
      <c r="GL101" s="41"/>
      <c r="GM101" s="41"/>
      <c r="GN101" s="41"/>
    </row>
    <row r="102" spans="1:196" ht="19.2" x14ac:dyDescent="0.4">
      <c r="A102" s="57">
        <v>95</v>
      </c>
      <c r="B102" s="88">
        <f>사원명부!B102</f>
        <v>0</v>
      </c>
      <c r="C102" s="89">
        <f>사원명부!D102</f>
        <v>0</v>
      </c>
      <c r="D102" s="90" t="str">
        <f>IF(B102=0,"-",사원명부!E102)</f>
        <v>-</v>
      </c>
      <c r="E102" s="91" t="str">
        <f t="shared" si="7"/>
        <v>-</v>
      </c>
      <c r="F102" s="68"/>
      <c r="G102" s="69"/>
      <c r="H102" s="102">
        <f t="shared" si="8"/>
        <v>0</v>
      </c>
      <c r="I102" s="103">
        <f t="shared" si="9"/>
        <v>0</v>
      </c>
      <c r="J102" s="104">
        <f t="shared" si="10"/>
        <v>0</v>
      </c>
      <c r="K102" s="70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2"/>
      <c r="W102" s="110">
        <f t="shared" si="11"/>
        <v>0</v>
      </c>
      <c r="X102" s="114"/>
      <c r="Y102" s="73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41"/>
      <c r="DE102" s="41"/>
      <c r="DF102" s="41"/>
      <c r="DG102" s="41"/>
      <c r="DH102" s="41"/>
      <c r="DI102" s="41"/>
      <c r="DJ102" s="41"/>
      <c r="DK102" s="41"/>
      <c r="DL102" s="41"/>
      <c r="DM102" s="41"/>
      <c r="DN102" s="41"/>
      <c r="DO102" s="41"/>
      <c r="DP102" s="41"/>
      <c r="DQ102" s="41"/>
      <c r="DR102" s="41"/>
      <c r="DS102" s="41"/>
      <c r="DT102" s="41"/>
      <c r="DU102" s="41"/>
      <c r="DV102" s="41"/>
      <c r="DW102" s="41"/>
      <c r="DX102" s="41"/>
      <c r="DY102" s="41"/>
      <c r="DZ102" s="41"/>
      <c r="EA102" s="41"/>
      <c r="EB102" s="41"/>
      <c r="EC102" s="41"/>
      <c r="ED102" s="41"/>
      <c r="EE102" s="41"/>
      <c r="EF102" s="41"/>
      <c r="EG102" s="41"/>
      <c r="EH102" s="41"/>
      <c r="EI102" s="41"/>
      <c r="EJ102" s="41"/>
      <c r="EK102" s="41"/>
      <c r="EL102" s="41"/>
      <c r="EM102" s="41"/>
      <c r="EN102" s="41"/>
      <c r="EO102" s="41"/>
      <c r="EP102" s="41"/>
      <c r="EQ102" s="41"/>
      <c r="ER102" s="41"/>
      <c r="ES102" s="41"/>
      <c r="ET102" s="41"/>
      <c r="EU102" s="41"/>
      <c r="EV102" s="41"/>
      <c r="EW102" s="41"/>
      <c r="EX102" s="41"/>
      <c r="EY102" s="41"/>
      <c r="EZ102" s="41"/>
      <c r="FA102" s="41"/>
      <c r="FB102" s="41"/>
      <c r="FC102" s="41"/>
      <c r="FD102" s="41"/>
      <c r="FE102" s="41"/>
      <c r="FF102" s="41"/>
      <c r="FG102" s="41"/>
      <c r="FH102" s="41"/>
      <c r="FI102" s="41"/>
      <c r="FJ102" s="41"/>
      <c r="FK102" s="41"/>
      <c r="FL102" s="41"/>
      <c r="FM102" s="41"/>
      <c r="FN102" s="41"/>
      <c r="FO102" s="41"/>
      <c r="FP102" s="41"/>
      <c r="FQ102" s="41"/>
      <c r="FR102" s="41"/>
      <c r="FS102" s="41"/>
      <c r="FT102" s="41"/>
      <c r="FU102" s="41"/>
      <c r="FV102" s="41"/>
      <c r="FW102" s="41"/>
      <c r="FX102" s="41"/>
      <c r="FY102" s="41"/>
      <c r="FZ102" s="41"/>
      <c r="GA102" s="41"/>
      <c r="GB102" s="41"/>
      <c r="GC102" s="41"/>
      <c r="GD102" s="41"/>
      <c r="GE102" s="41"/>
      <c r="GF102" s="41"/>
      <c r="GG102" s="41"/>
      <c r="GH102" s="41"/>
      <c r="GI102" s="41"/>
      <c r="GJ102" s="41"/>
      <c r="GK102" s="41"/>
      <c r="GL102" s="41"/>
      <c r="GM102" s="41"/>
      <c r="GN102" s="41"/>
    </row>
    <row r="103" spans="1:196" ht="19.2" x14ac:dyDescent="0.4">
      <c r="A103" s="57">
        <v>96</v>
      </c>
      <c r="B103" s="88">
        <f>사원명부!B103</f>
        <v>0</v>
      </c>
      <c r="C103" s="89">
        <f>사원명부!D103</f>
        <v>0</v>
      </c>
      <c r="D103" s="90" t="str">
        <f>IF(B103=0,"-",사원명부!E103)</f>
        <v>-</v>
      </c>
      <c r="E103" s="91" t="str">
        <f t="shared" si="7"/>
        <v>-</v>
      </c>
      <c r="F103" s="68"/>
      <c r="G103" s="69"/>
      <c r="H103" s="102">
        <f t="shared" si="8"/>
        <v>0</v>
      </c>
      <c r="I103" s="103">
        <f t="shared" si="9"/>
        <v>0</v>
      </c>
      <c r="J103" s="104">
        <f t="shared" si="10"/>
        <v>0</v>
      </c>
      <c r="K103" s="70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2"/>
      <c r="W103" s="110">
        <f t="shared" si="11"/>
        <v>0</v>
      </c>
      <c r="X103" s="114"/>
      <c r="Y103" s="73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41"/>
      <c r="DE103" s="41"/>
      <c r="DF103" s="41"/>
      <c r="DG103" s="41"/>
      <c r="DH103" s="41"/>
      <c r="DI103" s="41"/>
      <c r="DJ103" s="41"/>
      <c r="DK103" s="41"/>
      <c r="DL103" s="41"/>
      <c r="DM103" s="41"/>
      <c r="DN103" s="41"/>
      <c r="DO103" s="41"/>
      <c r="DP103" s="41"/>
      <c r="DQ103" s="41"/>
      <c r="DR103" s="41"/>
      <c r="DS103" s="41"/>
      <c r="DT103" s="41"/>
      <c r="DU103" s="41"/>
      <c r="DV103" s="41"/>
      <c r="DW103" s="41"/>
      <c r="DX103" s="41"/>
      <c r="DY103" s="41"/>
      <c r="DZ103" s="41"/>
      <c r="EA103" s="41"/>
      <c r="EB103" s="41"/>
      <c r="EC103" s="41"/>
      <c r="ED103" s="41"/>
      <c r="EE103" s="41"/>
      <c r="EF103" s="41"/>
      <c r="EG103" s="41"/>
      <c r="EH103" s="41"/>
      <c r="EI103" s="41"/>
      <c r="EJ103" s="41"/>
      <c r="EK103" s="41"/>
      <c r="EL103" s="41"/>
      <c r="EM103" s="41"/>
      <c r="EN103" s="41"/>
      <c r="EO103" s="41"/>
      <c r="EP103" s="41"/>
      <c r="EQ103" s="41"/>
      <c r="ER103" s="41"/>
      <c r="ES103" s="41"/>
      <c r="ET103" s="41"/>
      <c r="EU103" s="41"/>
      <c r="EV103" s="41"/>
      <c r="EW103" s="41"/>
      <c r="EX103" s="41"/>
      <c r="EY103" s="41"/>
      <c r="EZ103" s="41"/>
      <c r="FA103" s="41"/>
      <c r="FB103" s="41"/>
      <c r="FC103" s="41"/>
      <c r="FD103" s="41"/>
      <c r="FE103" s="41"/>
      <c r="FF103" s="41"/>
      <c r="FG103" s="41"/>
      <c r="FH103" s="41"/>
      <c r="FI103" s="41"/>
      <c r="FJ103" s="41"/>
      <c r="FK103" s="41"/>
      <c r="FL103" s="41"/>
      <c r="FM103" s="41"/>
      <c r="FN103" s="41"/>
      <c r="FO103" s="41"/>
      <c r="FP103" s="41"/>
      <c r="FQ103" s="41"/>
      <c r="FR103" s="41"/>
      <c r="FS103" s="41"/>
      <c r="FT103" s="41"/>
      <c r="FU103" s="41"/>
      <c r="FV103" s="41"/>
      <c r="FW103" s="41"/>
      <c r="FX103" s="41"/>
      <c r="FY103" s="41"/>
      <c r="FZ103" s="41"/>
      <c r="GA103" s="41"/>
      <c r="GB103" s="41"/>
      <c r="GC103" s="41"/>
      <c r="GD103" s="41"/>
      <c r="GE103" s="41"/>
      <c r="GF103" s="41"/>
      <c r="GG103" s="41"/>
      <c r="GH103" s="41"/>
      <c r="GI103" s="41"/>
      <c r="GJ103" s="41"/>
      <c r="GK103" s="41"/>
      <c r="GL103" s="41"/>
      <c r="GM103" s="41"/>
      <c r="GN103" s="41"/>
    </row>
    <row r="104" spans="1:196" ht="19.2" x14ac:dyDescent="0.4">
      <c r="A104" s="57">
        <v>97</v>
      </c>
      <c r="B104" s="88">
        <f>사원명부!B104</f>
        <v>0</v>
      </c>
      <c r="C104" s="89">
        <f>사원명부!D104</f>
        <v>0</v>
      </c>
      <c r="D104" s="90" t="str">
        <f>IF(B104=0,"-",사원명부!E104)</f>
        <v>-</v>
      </c>
      <c r="E104" s="91" t="str">
        <f t="shared" si="7"/>
        <v>-</v>
      </c>
      <c r="F104" s="68"/>
      <c r="G104" s="69"/>
      <c r="H104" s="102">
        <f t="shared" si="8"/>
        <v>0</v>
      </c>
      <c r="I104" s="103">
        <f t="shared" si="9"/>
        <v>0</v>
      </c>
      <c r="J104" s="104">
        <f t="shared" si="10"/>
        <v>0</v>
      </c>
      <c r="K104" s="70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2"/>
      <c r="W104" s="110">
        <f t="shared" si="11"/>
        <v>0</v>
      </c>
      <c r="X104" s="114"/>
      <c r="Y104" s="73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41"/>
      <c r="DE104" s="41"/>
      <c r="DF104" s="41"/>
      <c r="DG104" s="41"/>
      <c r="DH104" s="41"/>
      <c r="DI104" s="41"/>
      <c r="DJ104" s="41"/>
      <c r="DK104" s="41"/>
      <c r="DL104" s="41"/>
      <c r="DM104" s="41"/>
      <c r="DN104" s="41"/>
      <c r="DO104" s="41"/>
      <c r="DP104" s="41"/>
      <c r="DQ104" s="41"/>
      <c r="DR104" s="41"/>
      <c r="DS104" s="41"/>
      <c r="DT104" s="41"/>
      <c r="DU104" s="41"/>
      <c r="DV104" s="41"/>
      <c r="DW104" s="41"/>
      <c r="DX104" s="41"/>
      <c r="DY104" s="41"/>
      <c r="DZ104" s="41"/>
      <c r="EA104" s="41"/>
      <c r="EB104" s="41"/>
      <c r="EC104" s="41"/>
      <c r="ED104" s="41"/>
      <c r="EE104" s="41"/>
      <c r="EF104" s="41"/>
      <c r="EG104" s="41"/>
      <c r="EH104" s="41"/>
      <c r="EI104" s="41"/>
      <c r="EJ104" s="41"/>
      <c r="EK104" s="41"/>
      <c r="EL104" s="41"/>
      <c r="EM104" s="41"/>
      <c r="EN104" s="41"/>
      <c r="EO104" s="41"/>
      <c r="EP104" s="41"/>
      <c r="EQ104" s="41"/>
      <c r="ER104" s="41"/>
      <c r="ES104" s="41"/>
      <c r="ET104" s="41"/>
      <c r="EU104" s="41"/>
      <c r="EV104" s="41"/>
      <c r="EW104" s="41"/>
      <c r="EX104" s="41"/>
      <c r="EY104" s="41"/>
      <c r="EZ104" s="41"/>
      <c r="FA104" s="41"/>
      <c r="FB104" s="41"/>
      <c r="FC104" s="41"/>
      <c r="FD104" s="41"/>
      <c r="FE104" s="41"/>
      <c r="FF104" s="41"/>
      <c r="FG104" s="41"/>
      <c r="FH104" s="41"/>
      <c r="FI104" s="41"/>
      <c r="FJ104" s="41"/>
      <c r="FK104" s="41"/>
      <c r="FL104" s="41"/>
      <c r="FM104" s="41"/>
      <c r="FN104" s="41"/>
      <c r="FO104" s="41"/>
      <c r="FP104" s="41"/>
      <c r="FQ104" s="41"/>
      <c r="FR104" s="41"/>
      <c r="FS104" s="41"/>
      <c r="FT104" s="41"/>
      <c r="FU104" s="41"/>
      <c r="FV104" s="41"/>
      <c r="FW104" s="41"/>
      <c r="FX104" s="41"/>
      <c r="FY104" s="41"/>
      <c r="FZ104" s="41"/>
      <c r="GA104" s="41"/>
      <c r="GB104" s="41"/>
      <c r="GC104" s="41"/>
      <c r="GD104" s="41"/>
      <c r="GE104" s="41"/>
      <c r="GF104" s="41"/>
      <c r="GG104" s="41"/>
      <c r="GH104" s="41"/>
      <c r="GI104" s="41"/>
      <c r="GJ104" s="41"/>
      <c r="GK104" s="41"/>
      <c r="GL104" s="41"/>
      <c r="GM104" s="41"/>
      <c r="GN104" s="41"/>
    </row>
    <row r="105" spans="1:196" ht="19.2" x14ac:dyDescent="0.4">
      <c r="A105" s="57">
        <v>98</v>
      </c>
      <c r="B105" s="88">
        <f>사원명부!B105</f>
        <v>0</v>
      </c>
      <c r="C105" s="89">
        <f>사원명부!D105</f>
        <v>0</v>
      </c>
      <c r="D105" s="90" t="str">
        <f>IF(B105=0,"-",사원명부!E105)</f>
        <v>-</v>
      </c>
      <c r="E105" s="91" t="str">
        <f t="shared" si="7"/>
        <v>-</v>
      </c>
      <c r="F105" s="68"/>
      <c r="G105" s="69"/>
      <c r="H105" s="102">
        <f t="shared" si="8"/>
        <v>0</v>
      </c>
      <c r="I105" s="103">
        <f t="shared" si="9"/>
        <v>0</v>
      </c>
      <c r="J105" s="104">
        <f t="shared" si="10"/>
        <v>0</v>
      </c>
      <c r="K105" s="70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2"/>
      <c r="W105" s="110">
        <f t="shared" si="11"/>
        <v>0</v>
      </c>
      <c r="X105" s="114"/>
      <c r="Y105" s="73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41"/>
      <c r="DE105" s="41"/>
      <c r="DF105" s="41"/>
      <c r="DG105" s="41"/>
      <c r="DH105" s="41"/>
      <c r="DI105" s="41"/>
      <c r="DJ105" s="41"/>
      <c r="DK105" s="41"/>
      <c r="DL105" s="41"/>
      <c r="DM105" s="41"/>
      <c r="DN105" s="41"/>
      <c r="DO105" s="41"/>
      <c r="DP105" s="41"/>
      <c r="DQ105" s="41"/>
      <c r="DR105" s="41"/>
      <c r="DS105" s="41"/>
      <c r="DT105" s="41"/>
      <c r="DU105" s="41"/>
      <c r="DV105" s="41"/>
      <c r="DW105" s="41"/>
      <c r="DX105" s="41"/>
      <c r="DY105" s="41"/>
      <c r="DZ105" s="41"/>
      <c r="EA105" s="41"/>
      <c r="EB105" s="41"/>
      <c r="EC105" s="41"/>
      <c r="ED105" s="41"/>
      <c r="EE105" s="41"/>
      <c r="EF105" s="41"/>
      <c r="EG105" s="41"/>
      <c r="EH105" s="41"/>
      <c r="EI105" s="41"/>
      <c r="EJ105" s="41"/>
      <c r="EK105" s="41"/>
      <c r="EL105" s="41"/>
      <c r="EM105" s="41"/>
      <c r="EN105" s="41"/>
      <c r="EO105" s="41"/>
      <c r="EP105" s="41"/>
      <c r="EQ105" s="41"/>
      <c r="ER105" s="41"/>
      <c r="ES105" s="41"/>
      <c r="ET105" s="41"/>
      <c r="EU105" s="41"/>
      <c r="EV105" s="41"/>
      <c r="EW105" s="41"/>
      <c r="EX105" s="41"/>
      <c r="EY105" s="41"/>
      <c r="EZ105" s="41"/>
      <c r="FA105" s="41"/>
      <c r="FB105" s="41"/>
      <c r="FC105" s="41"/>
      <c r="FD105" s="41"/>
      <c r="FE105" s="41"/>
      <c r="FF105" s="41"/>
      <c r="FG105" s="41"/>
      <c r="FH105" s="41"/>
      <c r="FI105" s="41"/>
      <c r="FJ105" s="41"/>
      <c r="FK105" s="41"/>
      <c r="FL105" s="41"/>
      <c r="FM105" s="41"/>
      <c r="FN105" s="41"/>
      <c r="FO105" s="41"/>
      <c r="FP105" s="41"/>
      <c r="FQ105" s="41"/>
      <c r="FR105" s="41"/>
      <c r="FS105" s="41"/>
      <c r="FT105" s="41"/>
      <c r="FU105" s="41"/>
      <c r="FV105" s="41"/>
      <c r="FW105" s="41"/>
      <c r="FX105" s="41"/>
      <c r="FY105" s="41"/>
      <c r="FZ105" s="41"/>
      <c r="GA105" s="41"/>
      <c r="GB105" s="41"/>
      <c r="GC105" s="41"/>
      <c r="GD105" s="41"/>
      <c r="GE105" s="41"/>
      <c r="GF105" s="41"/>
      <c r="GG105" s="41"/>
      <c r="GH105" s="41"/>
      <c r="GI105" s="41"/>
      <c r="GJ105" s="41"/>
      <c r="GK105" s="41"/>
      <c r="GL105" s="41"/>
      <c r="GM105" s="41"/>
      <c r="GN105" s="41"/>
    </row>
    <row r="106" spans="1:196" ht="19.2" x14ac:dyDescent="0.4">
      <c r="A106" s="57">
        <v>99</v>
      </c>
      <c r="B106" s="88">
        <f>사원명부!B106</f>
        <v>0</v>
      </c>
      <c r="C106" s="89">
        <f>사원명부!D106</f>
        <v>0</v>
      </c>
      <c r="D106" s="90" t="str">
        <f>IF(B106=0,"-",사원명부!E106)</f>
        <v>-</v>
      </c>
      <c r="E106" s="91" t="str">
        <f t="shared" si="7"/>
        <v>-</v>
      </c>
      <c r="F106" s="68"/>
      <c r="G106" s="69"/>
      <c r="H106" s="102">
        <f t="shared" si="8"/>
        <v>0</v>
      </c>
      <c r="I106" s="103">
        <f t="shared" si="9"/>
        <v>0</v>
      </c>
      <c r="J106" s="104">
        <f t="shared" si="10"/>
        <v>0</v>
      </c>
      <c r="K106" s="70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2"/>
      <c r="W106" s="110">
        <f t="shared" si="11"/>
        <v>0</v>
      </c>
      <c r="X106" s="114"/>
      <c r="Y106" s="73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41"/>
      <c r="DE106" s="41"/>
      <c r="DF106" s="41"/>
      <c r="DG106" s="41"/>
      <c r="DH106" s="41"/>
      <c r="DI106" s="41"/>
      <c r="DJ106" s="41"/>
      <c r="DK106" s="41"/>
      <c r="DL106" s="41"/>
      <c r="DM106" s="41"/>
      <c r="DN106" s="41"/>
      <c r="DO106" s="41"/>
      <c r="DP106" s="41"/>
      <c r="DQ106" s="41"/>
      <c r="DR106" s="41"/>
      <c r="DS106" s="41"/>
      <c r="DT106" s="41"/>
      <c r="DU106" s="41"/>
      <c r="DV106" s="41"/>
      <c r="DW106" s="41"/>
      <c r="DX106" s="41"/>
      <c r="DY106" s="41"/>
      <c r="DZ106" s="41"/>
      <c r="EA106" s="41"/>
      <c r="EB106" s="41"/>
      <c r="EC106" s="41"/>
      <c r="ED106" s="41"/>
      <c r="EE106" s="41"/>
      <c r="EF106" s="41"/>
      <c r="EG106" s="41"/>
      <c r="EH106" s="41"/>
      <c r="EI106" s="41"/>
      <c r="EJ106" s="41"/>
      <c r="EK106" s="41"/>
      <c r="EL106" s="41"/>
      <c r="EM106" s="41"/>
      <c r="EN106" s="41"/>
      <c r="EO106" s="41"/>
      <c r="EP106" s="41"/>
      <c r="EQ106" s="41"/>
      <c r="ER106" s="41"/>
      <c r="ES106" s="41"/>
      <c r="ET106" s="41"/>
      <c r="EU106" s="41"/>
      <c r="EV106" s="41"/>
      <c r="EW106" s="41"/>
      <c r="EX106" s="41"/>
      <c r="EY106" s="41"/>
      <c r="EZ106" s="41"/>
      <c r="FA106" s="41"/>
      <c r="FB106" s="41"/>
      <c r="FC106" s="41"/>
      <c r="FD106" s="41"/>
      <c r="FE106" s="41"/>
      <c r="FF106" s="41"/>
      <c r="FG106" s="41"/>
      <c r="FH106" s="41"/>
      <c r="FI106" s="41"/>
      <c r="FJ106" s="41"/>
      <c r="FK106" s="41"/>
      <c r="FL106" s="41"/>
      <c r="FM106" s="41"/>
      <c r="FN106" s="41"/>
      <c r="FO106" s="41"/>
      <c r="FP106" s="41"/>
      <c r="FQ106" s="41"/>
      <c r="FR106" s="41"/>
      <c r="FS106" s="41"/>
      <c r="FT106" s="41"/>
      <c r="FU106" s="41"/>
      <c r="FV106" s="41"/>
      <c r="FW106" s="41"/>
      <c r="FX106" s="41"/>
      <c r="FY106" s="41"/>
      <c r="FZ106" s="41"/>
      <c r="GA106" s="41"/>
      <c r="GB106" s="41"/>
      <c r="GC106" s="41"/>
      <c r="GD106" s="41"/>
      <c r="GE106" s="41"/>
      <c r="GF106" s="41"/>
      <c r="GG106" s="41"/>
      <c r="GH106" s="41"/>
      <c r="GI106" s="41"/>
      <c r="GJ106" s="41"/>
      <c r="GK106" s="41"/>
      <c r="GL106" s="41"/>
      <c r="GM106" s="41"/>
      <c r="GN106" s="41"/>
    </row>
    <row r="107" spans="1:196" ht="19.8" thickBot="1" x14ac:dyDescent="0.45">
      <c r="A107" s="74">
        <v>100</v>
      </c>
      <c r="B107" s="92">
        <f>사원명부!B107</f>
        <v>0</v>
      </c>
      <c r="C107" s="93">
        <f>사원명부!D107</f>
        <v>0</v>
      </c>
      <c r="D107" s="94" t="str">
        <f>IF(B107=0,"-",사원명부!E107)</f>
        <v>-</v>
      </c>
      <c r="E107" s="95" t="str">
        <f t="shared" si="7"/>
        <v>-</v>
      </c>
      <c r="F107" s="75"/>
      <c r="G107" s="76"/>
      <c r="H107" s="105">
        <f t="shared" si="8"/>
        <v>0</v>
      </c>
      <c r="I107" s="106">
        <f t="shared" si="9"/>
        <v>0</v>
      </c>
      <c r="J107" s="107">
        <f t="shared" si="10"/>
        <v>0</v>
      </c>
      <c r="K107" s="77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9"/>
      <c r="W107" s="111">
        <f t="shared" si="11"/>
        <v>0</v>
      </c>
      <c r="X107" s="115"/>
      <c r="Y107" s="80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41"/>
      <c r="DE107" s="41"/>
      <c r="DF107" s="41"/>
      <c r="DG107" s="41"/>
      <c r="DH107" s="41"/>
      <c r="DI107" s="41"/>
      <c r="DJ107" s="41"/>
      <c r="DK107" s="41"/>
      <c r="DL107" s="41"/>
      <c r="DM107" s="41"/>
      <c r="DN107" s="41"/>
      <c r="DO107" s="41"/>
      <c r="DP107" s="41"/>
      <c r="DQ107" s="41"/>
      <c r="DR107" s="41"/>
      <c r="DS107" s="41"/>
      <c r="DT107" s="41"/>
      <c r="DU107" s="41"/>
      <c r="DV107" s="41"/>
      <c r="DW107" s="41"/>
      <c r="DX107" s="41"/>
      <c r="DY107" s="41"/>
      <c r="DZ107" s="41"/>
      <c r="EA107" s="41"/>
      <c r="EB107" s="41"/>
      <c r="EC107" s="41"/>
      <c r="ED107" s="41"/>
      <c r="EE107" s="41"/>
      <c r="EF107" s="41"/>
      <c r="EG107" s="41"/>
      <c r="EH107" s="41"/>
      <c r="EI107" s="41"/>
      <c r="EJ107" s="41"/>
      <c r="EK107" s="41"/>
      <c r="EL107" s="41"/>
      <c r="EM107" s="41"/>
      <c r="EN107" s="41"/>
      <c r="EO107" s="41"/>
      <c r="EP107" s="41"/>
      <c r="EQ107" s="41"/>
      <c r="ER107" s="41"/>
      <c r="ES107" s="41"/>
      <c r="ET107" s="41"/>
      <c r="EU107" s="41"/>
      <c r="EV107" s="41"/>
      <c r="EW107" s="41"/>
      <c r="EX107" s="41"/>
      <c r="EY107" s="41"/>
      <c r="EZ107" s="41"/>
      <c r="FA107" s="41"/>
      <c r="FB107" s="41"/>
      <c r="FC107" s="41"/>
      <c r="FD107" s="41"/>
      <c r="FE107" s="41"/>
      <c r="FF107" s="41"/>
      <c r="FG107" s="41"/>
      <c r="FH107" s="41"/>
      <c r="FI107" s="41"/>
      <c r="FJ107" s="41"/>
      <c r="FK107" s="41"/>
      <c r="FL107" s="41"/>
      <c r="FM107" s="41"/>
      <c r="FN107" s="41"/>
      <c r="FO107" s="41"/>
      <c r="FP107" s="41"/>
      <c r="FQ107" s="41"/>
      <c r="FR107" s="41"/>
      <c r="FS107" s="41"/>
      <c r="FT107" s="41"/>
      <c r="FU107" s="41"/>
      <c r="FV107" s="41"/>
      <c r="FW107" s="41"/>
      <c r="FX107" s="41"/>
      <c r="FY107" s="41"/>
      <c r="FZ107" s="41"/>
      <c r="GA107" s="41"/>
      <c r="GB107" s="41"/>
      <c r="GC107" s="41"/>
      <c r="GD107" s="41"/>
      <c r="GE107" s="41"/>
      <c r="GF107" s="41"/>
      <c r="GG107" s="41"/>
      <c r="GH107" s="41"/>
      <c r="GI107" s="41"/>
      <c r="GJ107" s="41"/>
      <c r="GK107" s="41"/>
      <c r="GL107" s="41"/>
      <c r="GM107" s="41"/>
      <c r="GN107" s="41"/>
    </row>
    <row r="108" spans="1:196" s="41" customFormat="1" x14ac:dyDescent="0.4">
      <c r="D108" s="42"/>
      <c r="F108" s="43"/>
      <c r="G108" s="43"/>
      <c r="H108" s="43"/>
      <c r="I108" s="44"/>
      <c r="J108" s="44"/>
      <c r="W108" s="44"/>
      <c r="X108" s="44"/>
    </row>
    <row r="109" spans="1:196" s="41" customFormat="1" x14ac:dyDescent="0.4">
      <c r="D109" s="42"/>
      <c r="F109" s="43"/>
      <c r="G109" s="43"/>
      <c r="H109" s="43"/>
      <c r="I109" s="44"/>
      <c r="J109" s="44"/>
      <c r="W109" s="44"/>
      <c r="X109" s="44"/>
    </row>
    <row r="110" spans="1:196" s="41" customFormat="1" x14ac:dyDescent="0.4">
      <c r="D110" s="42"/>
      <c r="F110" s="43"/>
      <c r="G110" s="43"/>
      <c r="H110" s="43"/>
      <c r="I110" s="44"/>
      <c r="J110" s="44"/>
      <c r="W110" s="44"/>
      <c r="X110" s="44"/>
    </row>
    <row r="111" spans="1:196" s="41" customFormat="1" x14ac:dyDescent="0.4">
      <c r="D111" s="42"/>
      <c r="F111" s="43"/>
      <c r="G111" s="43"/>
      <c r="H111" s="43"/>
      <c r="I111" s="44"/>
      <c r="J111" s="44"/>
      <c r="W111" s="44"/>
      <c r="X111" s="44"/>
    </row>
    <row r="112" spans="1:196" s="41" customFormat="1" x14ac:dyDescent="0.4">
      <c r="D112" s="42"/>
      <c r="F112" s="43"/>
      <c r="G112" s="43"/>
      <c r="H112" s="43"/>
      <c r="I112" s="44"/>
      <c r="J112" s="44"/>
      <c r="W112" s="44"/>
      <c r="X112" s="44"/>
    </row>
    <row r="113" spans="4:24" s="41" customFormat="1" x14ac:dyDescent="0.4">
      <c r="D113" s="42"/>
      <c r="F113" s="43"/>
      <c r="G113" s="43"/>
      <c r="H113" s="43"/>
      <c r="I113" s="44"/>
      <c r="J113" s="44"/>
      <c r="W113" s="44"/>
      <c r="X113" s="44"/>
    </row>
    <row r="114" spans="4:24" s="41" customFormat="1" x14ac:dyDescent="0.4">
      <c r="D114" s="42"/>
      <c r="F114" s="43"/>
      <c r="G114" s="43"/>
      <c r="H114" s="43"/>
      <c r="I114" s="44"/>
      <c r="J114" s="44"/>
      <c r="W114" s="44"/>
      <c r="X114" s="44"/>
    </row>
    <row r="115" spans="4:24" s="41" customFormat="1" x14ac:dyDescent="0.4">
      <c r="D115" s="42"/>
      <c r="F115" s="43"/>
      <c r="G115" s="43"/>
      <c r="H115" s="43"/>
      <c r="I115" s="44"/>
      <c r="J115" s="44"/>
      <c r="W115" s="44"/>
      <c r="X115" s="44"/>
    </row>
    <row r="116" spans="4:24" s="41" customFormat="1" x14ac:dyDescent="0.4">
      <c r="D116" s="42"/>
      <c r="F116" s="43"/>
      <c r="G116" s="43"/>
      <c r="H116" s="43"/>
      <c r="I116" s="44"/>
      <c r="J116" s="44"/>
      <c r="W116" s="44"/>
      <c r="X116" s="44"/>
    </row>
    <row r="117" spans="4:24" s="41" customFormat="1" x14ac:dyDescent="0.4">
      <c r="D117" s="42"/>
      <c r="F117" s="43"/>
      <c r="G117" s="43"/>
      <c r="H117" s="43"/>
      <c r="I117" s="44"/>
      <c r="J117" s="44"/>
      <c r="W117" s="44"/>
      <c r="X117" s="44"/>
    </row>
    <row r="118" spans="4:24" s="41" customFormat="1" x14ac:dyDescent="0.4">
      <c r="D118" s="42"/>
      <c r="F118" s="43"/>
      <c r="G118" s="43"/>
      <c r="H118" s="43"/>
      <c r="I118" s="44"/>
      <c r="J118" s="44"/>
      <c r="W118" s="44"/>
      <c r="X118" s="44"/>
    </row>
    <row r="119" spans="4:24" s="41" customFormat="1" x14ac:dyDescent="0.4">
      <c r="D119" s="42"/>
      <c r="F119" s="43"/>
      <c r="G119" s="43"/>
      <c r="H119" s="43"/>
      <c r="I119" s="44"/>
      <c r="J119" s="44"/>
      <c r="W119" s="44"/>
      <c r="X119" s="44"/>
    </row>
    <row r="120" spans="4:24" s="41" customFormat="1" x14ac:dyDescent="0.4">
      <c r="D120" s="42"/>
      <c r="F120" s="43"/>
      <c r="G120" s="43"/>
      <c r="H120" s="43"/>
      <c r="I120" s="44"/>
      <c r="J120" s="44"/>
      <c r="W120" s="44"/>
      <c r="X120" s="44"/>
    </row>
    <row r="121" spans="4:24" s="41" customFormat="1" x14ac:dyDescent="0.4">
      <c r="D121" s="42"/>
      <c r="F121" s="43"/>
      <c r="G121" s="43"/>
      <c r="H121" s="43"/>
      <c r="I121" s="44"/>
      <c r="J121" s="44"/>
      <c r="W121" s="44"/>
      <c r="X121" s="44"/>
    </row>
    <row r="122" spans="4:24" s="41" customFormat="1" x14ac:dyDescent="0.4">
      <c r="D122" s="42"/>
      <c r="F122" s="43"/>
      <c r="G122" s="43"/>
      <c r="H122" s="43"/>
      <c r="I122" s="44"/>
      <c r="J122" s="44"/>
      <c r="W122" s="44"/>
      <c r="X122" s="44"/>
    </row>
    <row r="123" spans="4:24" s="41" customFormat="1" x14ac:dyDescent="0.4">
      <c r="D123" s="42"/>
      <c r="F123" s="43"/>
      <c r="G123" s="43"/>
      <c r="H123" s="43"/>
      <c r="I123" s="44"/>
      <c r="J123" s="44"/>
      <c r="W123" s="44"/>
      <c r="X123" s="44"/>
    </row>
    <row r="124" spans="4:24" s="41" customFormat="1" x14ac:dyDescent="0.4">
      <c r="D124" s="42"/>
      <c r="F124" s="43"/>
      <c r="G124" s="43"/>
      <c r="H124" s="43"/>
      <c r="I124" s="44"/>
      <c r="J124" s="44"/>
      <c r="W124" s="44"/>
      <c r="X124" s="44"/>
    </row>
    <row r="125" spans="4:24" s="41" customFormat="1" x14ac:dyDescent="0.4">
      <c r="D125" s="42"/>
      <c r="F125" s="43"/>
      <c r="G125" s="43"/>
      <c r="H125" s="43"/>
      <c r="I125" s="44"/>
      <c r="J125" s="44"/>
      <c r="W125" s="44"/>
      <c r="X125" s="44"/>
    </row>
    <row r="126" spans="4:24" s="41" customFormat="1" x14ac:dyDescent="0.4">
      <c r="D126" s="42"/>
      <c r="F126" s="43"/>
      <c r="G126" s="43"/>
      <c r="H126" s="43"/>
      <c r="I126" s="44"/>
      <c r="J126" s="44"/>
      <c r="W126" s="44"/>
      <c r="X126" s="44"/>
    </row>
    <row r="127" spans="4:24" s="41" customFormat="1" x14ac:dyDescent="0.4">
      <c r="D127" s="42"/>
      <c r="F127" s="43"/>
      <c r="G127" s="43"/>
      <c r="H127" s="43"/>
      <c r="I127" s="44"/>
      <c r="J127" s="44"/>
      <c r="W127" s="44"/>
      <c r="X127" s="44"/>
    </row>
    <row r="128" spans="4:24" s="41" customFormat="1" x14ac:dyDescent="0.4">
      <c r="D128" s="42"/>
      <c r="F128" s="43"/>
      <c r="G128" s="43"/>
      <c r="H128" s="43"/>
      <c r="I128" s="44"/>
      <c r="J128" s="44"/>
      <c r="W128" s="44"/>
      <c r="X128" s="44"/>
    </row>
    <row r="129" spans="4:24" s="41" customFormat="1" x14ac:dyDescent="0.4">
      <c r="D129" s="42"/>
      <c r="F129" s="43"/>
      <c r="G129" s="43"/>
      <c r="H129" s="43"/>
      <c r="I129" s="44"/>
      <c r="J129" s="44"/>
      <c r="W129" s="44"/>
      <c r="X129" s="44"/>
    </row>
    <row r="130" spans="4:24" s="41" customFormat="1" x14ac:dyDescent="0.4">
      <c r="D130" s="42"/>
      <c r="F130" s="43"/>
      <c r="G130" s="43"/>
      <c r="H130" s="43"/>
      <c r="I130" s="44"/>
      <c r="J130" s="44"/>
      <c r="W130" s="44"/>
      <c r="X130" s="44"/>
    </row>
    <row r="131" spans="4:24" s="41" customFormat="1" x14ac:dyDescent="0.4">
      <c r="D131" s="42"/>
      <c r="F131" s="43"/>
      <c r="G131" s="43"/>
      <c r="H131" s="43"/>
      <c r="I131" s="44"/>
      <c r="J131" s="44"/>
      <c r="W131" s="44"/>
      <c r="X131" s="44"/>
    </row>
    <row r="132" spans="4:24" s="41" customFormat="1" x14ac:dyDescent="0.4">
      <c r="D132" s="42"/>
      <c r="F132" s="43"/>
      <c r="G132" s="43"/>
      <c r="H132" s="43"/>
      <c r="I132" s="44"/>
      <c r="J132" s="44"/>
      <c r="W132" s="44"/>
      <c r="X132" s="44"/>
    </row>
    <row r="133" spans="4:24" s="41" customFormat="1" x14ac:dyDescent="0.4">
      <c r="D133" s="42"/>
      <c r="F133" s="43"/>
      <c r="G133" s="43"/>
      <c r="H133" s="43"/>
      <c r="I133" s="44"/>
      <c r="J133" s="44"/>
      <c r="W133" s="44"/>
      <c r="X133" s="44"/>
    </row>
    <row r="134" spans="4:24" s="41" customFormat="1" x14ac:dyDescent="0.4">
      <c r="D134" s="42"/>
      <c r="F134" s="43"/>
      <c r="G134" s="43"/>
      <c r="H134" s="43"/>
      <c r="I134" s="44"/>
      <c r="J134" s="44"/>
      <c r="W134" s="44"/>
      <c r="X134" s="44"/>
    </row>
    <row r="135" spans="4:24" s="41" customFormat="1" x14ac:dyDescent="0.4">
      <c r="D135" s="42"/>
      <c r="F135" s="43"/>
      <c r="G135" s="43"/>
      <c r="H135" s="43"/>
      <c r="I135" s="44"/>
      <c r="J135" s="44"/>
      <c r="W135" s="44"/>
      <c r="X135" s="44"/>
    </row>
    <row r="136" spans="4:24" s="41" customFormat="1" x14ac:dyDescent="0.4">
      <c r="D136" s="42"/>
      <c r="F136" s="43"/>
      <c r="G136" s="43"/>
      <c r="H136" s="43"/>
      <c r="I136" s="44"/>
      <c r="J136" s="44"/>
      <c r="W136" s="44"/>
      <c r="X136" s="44"/>
    </row>
    <row r="137" spans="4:24" s="41" customFormat="1" x14ac:dyDescent="0.4">
      <c r="D137" s="42"/>
      <c r="F137" s="43"/>
      <c r="G137" s="43"/>
      <c r="H137" s="43"/>
      <c r="I137" s="44"/>
      <c r="J137" s="44"/>
      <c r="W137" s="44"/>
      <c r="X137" s="44"/>
    </row>
    <row r="138" spans="4:24" s="41" customFormat="1" x14ac:dyDescent="0.4">
      <c r="D138" s="42"/>
      <c r="F138" s="43"/>
      <c r="G138" s="43"/>
      <c r="H138" s="43"/>
      <c r="I138" s="44"/>
      <c r="J138" s="44"/>
      <c r="W138" s="44"/>
      <c r="X138" s="44"/>
    </row>
    <row r="139" spans="4:24" s="41" customFormat="1" x14ac:dyDescent="0.4">
      <c r="D139" s="42"/>
      <c r="F139" s="43"/>
      <c r="G139" s="43"/>
      <c r="H139" s="43"/>
      <c r="I139" s="44"/>
      <c r="J139" s="44"/>
      <c r="W139" s="44"/>
      <c r="X139" s="44"/>
    </row>
    <row r="140" spans="4:24" s="41" customFormat="1" x14ac:dyDescent="0.4">
      <c r="D140" s="42"/>
      <c r="F140" s="43"/>
      <c r="G140" s="43"/>
      <c r="H140" s="43"/>
      <c r="I140" s="44"/>
      <c r="J140" s="44"/>
      <c r="W140" s="44"/>
      <c r="X140" s="44"/>
    </row>
    <row r="141" spans="4:24" s="41" customFormat="1" x14ac:dyDescent="0.4">
      <c r="D141" s="42"/>
      <c r="F141" s="43"/>
      <c r="G141" s="43"/>
      <c r="H141" s="43"/>
      <c r="I141" s="44"/>
      <c r="J141" s="44"/>
      <c r="W141" s="44"/>
      <c r="X141" s="44"/>
    </row>
    <row r="142" spans="4:24" s="41" customFormat="1" x14ac:dyDescent="0.4">
      <c r="D142" s="42"/>
      <c r="F142" s="43"/>
      <c r="G142" s="43"/>
      <c r="H142" s="43"/>
      <c r="I142" s="44"/>
      <c r="J142" s="44"/>
      <c r="W142" s="44"/>
      <c r="X142" s="44"/>
    </row>
    <row r="143" spans="4:24" s="41" customFormat="1" x14ac:dyDescent="0.4">
      <c r="D143" s="42"/>
      <c r="F143" s="43"/>
      <c r="G143" s="43"/>
      <c r="H143" s="43"/>
      <c r="I143" s="44"/>
      <c r="J143" s="44"/>
      <c r="W143" s="44"/>
      <c r="X143" s="44"/>
    </row>
    <row r="144" spans="4:24" s="41" customFormat="1" x14ac:dyDescent="0.4">
      <c r="D144" s="42"/>
      <c r="F144" s="43"/>
      <c r="G144" s="43"/>
      <c r="H144" s="43"/>
      <c r="I144" s="44"/>
      <c r="J144" s="44"/>
      <c r="W144" s="44"/>
      <c r="X144" s="44"/>
    </row>
    <row r="145" spans="4:24" s="41" customFormat="1" x14ac:dyDescent="0.4">
      <c r="D145" s="42"/>
      <c r="F145" s="43"/>
      <c r="G145" s="43"/>
      <c r="H145" s="43"/>
      <c r="I145" s="44"/>
      <c r="J145" s="44"/>
      <c r="W145" s="44"/>
      <c r="X145" s="44"/>
    </row>
    <row r="146" spans="4:24" s="41" customFormat="1" x14ac:dyDescent="0.4">
      <c r="D146" s="42"/>
      <c r="F146" s="43"/>
      <c r="G146" s="43"/>
      <c r="H146" s="43"/>
      <c r="I146" s="44"/>
      <c r="J146" s="44"/>
      <c r="W146" s="44"/>
      <c r="X146" s="44"/>
    </row>
    <row r="147" spans="4:24" s="41" customFormat="1" x14ac:dyDescent="0.4">
      <c r="D147" s="42"/>
      <c r="F147" s="43"/>
      <c r="G147" s="43"/>
      <c r="H147" s="43"/>
      <c r="I147" s="44"/>
      <c r="J147" s="44"/>
      <c r="W147" s="44"/>
      <c r="X147" s="44"/>
    </row>
    <row r="148" spans="4:24" s="41" customFormat="1" x14ac:dyDescent="0.4">
      <c r="D148" s="42"/>
      <c r="F148" s="43"/>
      <c r="G148" s="43"/>
      <c r="H148" s="43"/>
      <c r="I148" s="44"/>
      <c r="J148" s="44"/>
      <c r="W148" s="44"/>
      <c r="X148" s="44"/>
    </row>
    <row r="149" spans="4:24" s="41" customFormat="1" x14ac:dyDescent="0.4">
      <c r="D149" s="42"/>
      <c r="F149" s="43"/>
      <c r="G149" s="43"/>
      <c r="H149" s="43"/>
      <c r="I149" s="44"/>
      <c r="J149" s="44"/>
      <c r="W149" s="44"/>
      <c r="X149" s="44"/>
    </row>
    <row r="150" spans="4:24" s="41" customFormat="1" x14ac:dyDescent="0.4">
      <c r="D150" s="42"/>
      <c r="F150" s="43"/>
      <c r="G150" s="43"/>
      <c r="H150" s="43"/>
      <c r="I150" s="44"/>
      <c r="J150" s="44"/>
      <c r="W150" s="44"/>
      <c r="X150" s="44"/>
    </row>
    <row r="151" spans="4:24" s="41" customFormat="1" x14ac:dyDescent="0.4">
      <c r="D151" s="42"/>
      <c r="F151" s="43"/>
      <c r="G151" s="43"/>
      <c r="H151" s="43"/>
      <c r="I151" s="44"/>
      <c r="J151" s="44"/>
      <c r="W151" s="44"/>
      <c r="X151" s="44"/>
    </row>
  </sheetData>
  <sheetProtection algorithmName="SHA-512" hashValue="QtNMj3zOaVbXGWJJ5HRVfRo6+DY6l46fJqgZNJH0XKe4sSZf9Oxk8M7jDcvGQgDjh9XjK9ktrZzVNlhpjAX0xQ==" saltValue="RmtTPwPYwsppqSGa9NIN1A==" spinCount="100000" sheet="1" objects="1" scenarios="1"/>
  <protectedRanges>
    <protectedRange algorithmName="SHA-512" hashValue="eA8mbHf9U4kguKZvpsl8Q+3J16eDEpWgA/Ibh6PWftc3Ro1CUg/UhdLmd41+ERBuGZiqEZJNSHFSO/QQLod6Hw==" saltValue="80Kv+VbI3L7Im9AuzM7btQ==" spinCount="100000" sqref="F8:H107 X8:X107 K8:O107 Q8:V107 P8:P32 P34:P107" name="연차관리대장"/>
  </protectedRanges>
  <mergeCells count="15">
    <mergeCell ref="W6:W7"/>
    <mergeCell ref="X6:X7"/>
    <mergeCell ref="Y6:Y7"/>
    <mergeCell ref="J6:J7"/>
    <mergeCell ref="A4:N5"/>
    <mergeCell ref="H6:H7"/>
    <mergeCell ref="C6:C7"/>
    <mergeCell ref="B6:B7"/>
    <mergeCell ref="A6:A7"/>
    <mergeCell ref="D6:D7"/>
    <mergeCell ref="E6:E7"/>
    <mergeCell ref="G6:G7"/>
    <mergeCell ref="F6:F7"/>
    <mergeCell ref="I6:I7"/>
    <mergeCell ref="K6:V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DF1B2-D08E-4FD1-AEFE-BB658DB2E1B2}">
  <sheetPr codeName="Sheet3">
    <tabColor theme="4" tint="-0.249977111117893"/>
  </sheetPr>
  <dimension ref="A1:GH156"/>
  <sheetViews>
    <sheetView topLeftCell="A16" zoomScale="85" zoomScaleNormal="85" workbookViewId="0">
      <selection activeCell="D39" sqref="D39"/>
    </sheetView>
  </sheetViews>
  <sheetFormatPr defaultColWidth="9" defaultRowHeight="17.399999999999999" x14ac:dyDescent="0.4"/>
  <cols>
    <col min="1" max="1" width="6.59765625" style="46" customWidth="1"/>
    <col min="2" max="2" width="11.19921875" style="46" customWidth="1"/>
    <col min="3" max="3" width="14.8984375" style="81" customWidth="1"/>
    <col min="4" max="4" width="11.09765625" style="82" customWidth="1"/>
    <col min="5" max="6" width="11.8984375" style="83" customWidth="1"/>
    <col min="7" max="16" width="14.09765625" style="46" customWidth="1"/>
    <col min="17" max="17" width="15.19921875" style="46" customWidth="1"/>
    <col min="18" max="18" width="14.09765625" style="46" customWidth="1"/>
    <col min="19" max="190" width="9" style="41"/>
    <col min="191" max="16384" width="9" style="46"/>
  </cols>
  <sheetData>
    <row r="1" spans="1:190" s="29" customFormat="1" ht="39.75" customHeight="1" x14ac:dyDescent="0.4">
      <c r="C1" s="30"/>
      <c r="D1" s="31"/>
      <c r="E1" s="32"/>
      <c r="F1" s="32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</row>
    <row r="2" spans="1:190" s="33" customFormat="1" ht="46.5" customHeight="1" x14ac:dyDescent="0.4">
      <c r="C2" s="34"/>
      <c r="D2" s="35"/>
      <c r="E2" s="36"/>
      <c r="F2" s="36"/>
      <c r="H2" s="37"/>
      <c r="I2" s="38"/>
      <c r="J2" s="38"/>
      <c r="K2" s="38"/>
      <c r="L2" s="38"/>
      <c r="M2" s="38"/>
      <c r="N2" s="38"/>
      <c r="O2" s="151" t="s">
        <v>53</v>
      </c>
      <c r="P2" s="38"/>
      <c r="Q2" s="38"/>
      <c r="R2" s="38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</row>
    <row r="3" spans="1:190" s="41" customFormat="1" ht="5.25" customHeight="1" thickBot="1" x14ac:dyDescent="0.45">
      <c r="C3" s="42"/>
      <c r="D3" s="43"/>
      <c r="E3" s="44"/>
      <c r="F3" s="44"/>
    </row>
    <row r="4" spans="1:190" s="29" customFormat="1" ht="12.75" customHeight="1" x14ac:dyDescent="0.4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41"/>
      <c r="P4" s="219" t="s">
        <v>37</v>
      </c>
      <c r="Q4" s="217" t="s">
        <v>38</v>
      </c>
      <c r="R4" s="22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  <c r="FA4" s="41"/>
      <c r="FB4" s="41"/>
      <c r="FC4" s="41"/>
      <c r="FD4" s="41"/>
      <c r="FE4" s="41"/>
      <c r="FF4" s="41"/>
      <c r="FG4" s="41"/>
      <c r="FH4" s="41"/>
      <c r="FI4" s="41"/>
      <c r="FJ4" s="41"/>
      <c r="FK4" s="41"/>
      <c r="FL4" s="41"/>
      <c r="FM4" s="41"/>
      <c r="FN4" s="41"/>
      <c r="FO4" s="41"/>
      <c r="FP4" s="41"/>
      <c r="FQ4" s="41"/>
      <c r="FR4" s="41"/>
      <c r="FS4" s="41"/>
      <c r="FT4" s="41"/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</row>
    <row r="5" spans="1:190" s="29" customFormat="1" ht="25.5" customHeight="1" thickBot="1" x14ac:dyDescent="0.45">
      <c r="A5" s="119"/>
      <c r="B5" s="119"/>
      <c r="C5" s="119"/>
      <c r="D5" s="119"/>
      <c r="E5" s="119"/>
      <c r="F5" s="119"/>
      <c r="G5" s="119"/>
      <c r="H5" s="119"/>
      <c r="I5" s="41"/>
      <c r="J5" s="119"/>
      <c r="K5" s="119"/>
      <c r="L5" s="119"/>
      <c r="M5" s="119"/>
      <c r="N5" s="119"/>
      <c r="O5" s="41"/>
      <c r="P5" s="220"/>
      <c r="Q5" s="218"/>
      <c r="R5" s="222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41"/>
      <c r="FM5" s="41"/>
      <c r="FN5" s="41"/>
      <c r="FO5" s="41"/>
      <c r="FP5" s="41"/>
      <c r="FQ5" s="41"/>
      <c r="FR5" s="41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</row>
    <row r="6" spans="1:190" s="29" customFormat="1" ht="81.75" customHeight="1" thickTop="1" thickBot="1" x14ac:dyDescent="0.45">
      <c r="A6" s="119"/>
      <c r="B6" s="119"/>
      <c r="C6" s="119"/>
      <c r="D6" s="119"/>
      <c r="E6" s="119"/>
      <c r="F6" s="119"/>
      <c r="G6" s="119"/>
      <c r="H6" s="119"/>
      <c r="I6" s="152" t="s">
        <v>20</v>
      </c>
      <c r="J6" s="119"/>
      <c r="K6" s="119"/>
      <c r="L6" s="119"/>
      <c r="M6" s="119"/>
      <c r="N6" s="119"/>
      <c r="O6" s="41"/>
      <c r="P6" s="120"/>
      <c r="Q6" s="121"/>
      <c r="R6" s="122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</row>
    <row r="7" spans="1:190" s="29" customFormat="1" ht="8.25" customHeight="1" x14ac:dyDescent="0.4">
      <c r="A7" s="228" t="str">
        <f>사원명부!J5&amp;"   "&amp;사원명부!I6&amp;" : "&amp;사원명부!J6&amp;"    "&amp;사원명부!J8</f>
        <v>㈜한슬   대표자 : 정영수    대구 달서구 성서공단북로 305</v>
      </c>
      <c r="B7" s="228"/>
      <c r="C7" s="228"/>
      <c r="D7" s="228"/>
      <c r="E7" s="228"/>
      <c r="F7" s="228"/>
      <c r="G7" s="153"/>
      <c r="H7" s="153"/>
      <c r="I7" s="153"/>
      <c r="J7" s="153"/>
      <c r="K7" s="153"/>
      <c r="L7" s="153"/>
      <c r="M7" s="153"/>
      <c r="N7" s="153"/>
      <c r="O7" s="28"/>
      <c r="P7" s="28"/>
      <c r="Q7" s="28"/>
      <c r="R7" s="153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</row>
    <row r="8" spans="1:190" s="29" customFormat="1" ht="6.75" customHeight="1" x14ac:dyDescent="0.4">
      <c r="A8" s="228"/>
      <c r="B8" s="228"/>
      <c r="C8" s="228"/>
      <c r="D8" s="228"/>
      <c r="E8" s="228"/>
      <c r="F8" s="228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</row>
    <row r="9" spans="1:190" s="29" customFormat="1" ht="6.75" customHeight="1" x14ac:dyDescent="0.4">
      <c r="A9" s="228"/>
      <c r="B9" s="228"/>
      <c r="C9" s="228"/>
      <c r="D9" s="228"/>
      <c r="E9" s="228"/>
      <c r="F9" s="228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</row>
    <row r="10" spans="1:190" s="29" customFormat="1" ht="14.25" customHeight="1" thickBot="1" x14ac:dyDescent="0.45">
      <c r="A10" s="229"/>
      <c r="B10" s="229"/>
      <c r="C10" s="229"/>
      <c r="D10" s="229"/>
      <c r="E10" s="229"/>
      <c r="F10" s="229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</row>
    <row r="11" spans="1:190" ht="41.25" customHeight="1" thickBot="1" x14ac:dyDescent="0.45">
      <c r="A11" s="230"/>
      <c r="B11" s="232" t="s">
        <v>29</v>
      </c>
      <c r="C11" s="234" t="s">
        <v>1</v>
      </c>
      <c r="D11" s="236" t="s">
        <v>19</v>
      </c>
      <c r="E11" s="238" t="s">
        <v>31</v>
      </c>
      <c r="F11" s="223" t="s">
        <v>30</v>
      </c>
      <c r="G11" s="225" t="s">
        <v>28</v>
      </c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7"/>
    </row>
    <row r="12" spans="1:190" ht="41.25" customHeight="1" thickBot="1" x14ac:dyDescent="0.45">
      <c r="A12" s="231"/>
      <c r="B12" s="233"/>
      <c r="C12" s="235"/>
      <c r="D12" s="237"/>
      <c r="E12" s="239"/>
      <c r="F12" s="224"/>
      <c r="G12" s="154" t="s">
        <v>2</v>
      </c>
      <c r="H12" s="155" t="s">
        <v>3</v>
      </c>
      <c r="I12" s="155" t="s">
        <v>4</v>
      </c>
      <c r="J12" s="155" t="s">
        <v>5</v>
      </c>
      <c r="K12" s="155" t="s">
        <v>6</v>
      </c>
      <c r="L12" s="155" t="s">
        <v>7</v>
      </c>
      <c r="M12" s="155" t="s">
        <v>8</v>
      </c>
      <c r="N12" s="155" t="s">
        <v>9</v>
      </c>
      <c r="O12" s="155" t="s">
        <v>10</v>
      </c>
      <c r="P12" s="155" t="s">
        <v>11</v>
      </c>
      <c r="Q12" s="155" t="s">
        <v>12</v>
      </c>
      <c r="R12" s="156" t="s">
        <v>13</v>
      </c>
    </row>
    <row r="13" spans="1:190" ht="32.1" customHeight="1" x14ac:dyDescent="0.4">
      <c r="A13" s="157">
        <v>1</v>
      </c>
      <c r="B13" s="85" t="str">
        <f>'휴가대장 관리용'!C8</f>
        <v>양승진</v>
      </c>
      <c r="C13" s="123" t="str">
        <f>'휴가대장 관리용'!D8</f>
        <v>1990-09-01</v>
      </c>
      <c r="D13" s="124">
        <f>'휴가대장 관리용'!H8</f>
        <v>25</v>
      </c>
      <c r="E13" s="125">
        <f>'휴가대장 관리용'!I8</f>
        <v>10.5</v>
      </c>
      <c r="F13" s="126">
        <f>'휴가대장 관리용'!J8</f>
        <v>14.5</v>
      </c>
      <c r="G13" s="127">
        <f>'휴가대장 관리용'!K8</f>
        <v>0</v>
      </c>
      <c r="H13" s="128">
        <f>'휴가대장 관리용'!L8</f>
        <v>0</v>
      </c>
      <c r="I13" s="128" t="str">
        <f>'휴가대장 관리용'!M8</f>
        <v>27일(오전반차)</v>
      </c>
      <c r="J13" s="128" t="str">
        <f>'휴가대장 관리용'!N8</f>
        <v>2일, 
15일(오후반차)</v>
      </c>
      <c r="K13" s="128" t="str">
        <f>'휴가대장 관리용'!O8</f>
        <v>02일</v>
      </c>
      <c r="L13" s="128">
        <f>'휴가대장 관리용'!P8</f>
        <v>0</v>
      </c>
      <c r="M13" s="128" t="str">
        <f>'휴가대장 관리용'!Q8</f>
        <v>15일(오후반차),
18일,21일,
22일,23일,24일,25일</v>
      </c>
      <c r="N13" s="128" t="str">
        <f>'휴가대장 관리용'!R8</f>
        <v>1일</v>
      </c>
      <c r="O13" s="128">
        <f>'휴가대장 관리용'!S8</f>
        <v>0</v>
      </c>
      <c r="P13" s="128">
        <f>'휴가대장 관리용'!T8</f>
        <v>0</v>
      </c>
      <c r="Q13" s="128">
        <f>'휴가대장 관리용'!U8</f>
        <v>0</v>
      </c>
      <c r="R13" s="129">
        <f>'휴가대장 관리용'!V8</f>
        <v>0</v>
      </c>
    </row>
    <row r="14" spans="1:190" ht="32.1" customHeight="1" x14ac:dyDescent="0.4">
      <c r="A14" s="158">
        <v>2</v>
      </c>
      <c r="B14" s="89" t="str">
        <f>'휴가대장 관리용'!C9</f>
        <v>최창열</v>
      </c>
      <c r="C14" s="130" t="str">
        <f>'휴가대장 관리용'!D9</f>
        <v>2000-10-01</v>
      </c>
      <c r="D14" s="131">
        <f>'휴가대장 관리용'!H9</f>
        <v>25</v>
      </c>
      <c r="E14" s="132">
        <f>'휴가대장 관리용'!I9</f>
        <v>10</v>
      </c>
      <c r="F14" s="133">
        <f>'휴가대장 관리용'!J9</f>
        <v>15</v>
      </c>
      <c r="G14" s="134">
        <f>'휴가대장 관리용'!K9</f>
        <v>0</v>
      </c>
      <c r="H14" s="135" t="str">
        <f>'휴가대장 관리용'!L9</f>
        <v>24일(오후반차)</v>
      </c>
      <c r="I14" s="135" t="str">
        <f>'휴가대장 관리용'!M9</f>
        <v>28일(오후반차)</v>
      </c>
      <c r="J14" s="135" t="str">
        <f>'휴가대장 관리용'!N9</f>
        <v>29일,30일</v>
      </c>
      <c r="K14" s="135" t="str">
        <f>'휴가대장 관리용'!O9</f>
        <v>28일</v>
      </c>
      <c r="L14" s="135" t="str">
        <f>'휴가대장 관리용'!P9</f>
        <v>13일(오후반차),
16일,18일,
20일(오후반차)</v>
      </c>
      <c r="M14" s="135" t="str">
        <f>'휴가대장 관리용'!Q9</f>
        <v>08(오후반차),
09일</v>
      </c>
      <c r="N14" s="135" t="str">
        <f>'휴가대장 관리용'!R9</f>
        <v>5일(오후반차),
20일</v>
      </c>
      <c r="O14" s="135">
        <f>'휴가대장 관리용'!S9</f>
        <v>0</v>
      </c>
      <c r="P14" s="135">
        <f>'휴가대장 관리용'!T9</f>
        <v>0</v>
      </c>
      <c r="Q14" s="135">
        <f>'휴가대장 관리용'!U9</f>
        <v>0</v>
      </c>
      <c r="R14" s="136">
        <f>'휴가대장 관리용'!V9</f>
        <v>0</v>
      </c>
    </row>
    <row r="15" spans="1:190" ht="32.1" customHeight="1" x14ac:dyDescent="0.4">
      <c r="A15" s="158">
        <v>3</v>
      </c>
      <c r="B15" s="89" t="str">
        <f>'휴가대장 관리용'!C10</f>
        <v>김은정</v>
      </c>
      <c r="C15" s="130" t="str">
        <f>'휴가대장 관리용'!D10</f>
        <v>2002-07-26</v>
      </c>
      <c r="D15" s="131">
        <f>'휴가대장 관리용'!H10</f>
        <v>25</v>
      </c>
      <c r="E15" s="132">
        <f>'휴가대장 관리용'!I10</f>
        <v>14</v>
      </c>
      <c r="F15" s="133">
        <f>'휴가대장 관리용'!J10</f>
        <v>11</v>
      </c>
      <c r="G15" s="134" t="str">
        <f>'휴가대장 관리용'!K10</f>
        <v>22일</v>
      </c>
      <c r="H15" s="135" t="str">
        <f>'휴가대장 관리용'!L10</f>
        <v>20일,27,28</v>
      </c>
      <c r="I15" s="135" t="str">
        <f>'휴가대장 관리용'!M10</f>
        <v>05(오후반차),12</v>
      </c>
      <c r="J15" s="135" t="str">
        <f>'휴가대장 관리용'!N10</f>
        <v>23일,
28일(오후반차)</v>
      </c>
      <c r="K15" s="135">
        <f>'휴가대장 관리용'!O10</f>
        <v>0</v>
      </c>
      <c r="L15" s="135" t="str">
        <f>'휴가대장 관리용'!P10</f>
        <v>05일(오후반차)</v>
      </c>
      <c r="M15" s="135" t="str">
        <f>'휴가대장 관리용'!Q10</f>
        <v>07일,16일,
17일(오후반차),
30일,31일</v>
      </c>
      <c r="N15" s="135" t="str">
        <f>'휴가대장 관리용'!R10</f>
        <v>1일,
14일(오전반차)</v>
      </c>
      <c r="O15" s="135">
        <f>'휴가대장 관리용'!S10</f>
        <v>0</v>
      </c>
      <c r="P15" s="135">
        <f>'휴가대장 관리용'!T10</f>
        <v>0</v>
      </c>
      <c r="Q15" s="135">
        <f>'휴가대장 관리용'!U10</f>
        <v>0</v>
      </c>
      <c r="R15" s="136">
        <f>'휴가대장 관리용'!V10</f>
        <v>0</v>
      </c>
    </row>
    <row r="16" spans="1:190" ht="32.1" customHeight="1" x14ac:dyDescent="0.4">
      <c r="A16" s="158">
        <v>4</v>
      </c>
      <c r="B16" s="89" t="str">
        <f>'휴가대장 관리용'!C11</f>
        <v>이정화</v>
      </c>
      <c r="C16" s="130" t="str">
        <f>'휴가대장 관리용'!D11</f>
        <v>2003-01-02</v>
      </c>
      <c r="D16" s="131">
        <f>'휴가대장 관리용'!H11</f>
        <v>25</v>
      </c>
      <c r="E16" s="132">
        <f>'휴가대장 관리용'!I11</f>
        <v>15.5</v>
      </c>
      <c r="F16" s="133">
        <f>'휴가대장 관리용'!J11</f>
        <v>9.5</v>
      </c>
      <c r="G16" s="134" t="str">
        <f>'휴가대장 관리용'!K11</f>
        <v>17일(오후반차),
31일(오후반차)</v>
      </c>
      <c r="H16" s="135" t="str">
        <f>'휴가대장 관리용'!L11</f>
        <v>7일(오후반차),
21일,28일</v>
      </c>
      <c r="I16" s="135" t="str">
        <f>'휴가대장 관리용'!M11</f>
        <v>14(오후반차)</v>
      </c>
      <c r="J16" s="135" t="str">
        <f>'휴가대장 관리용'!N11</f>
        <v>2일,25일</v>
      </c>
      <c r="K16" s="135" t="str">
        <f>'휴가대장 관리용'!O11</f>
        <v>2일,
29일(오후반차)</v>
      </c>
      <c r="L16" s="135" t="str">
        <f>'휴가대장 관리용'!P11</f>
        <v>20일</v>
      </c>
      <c r="M16" s="135" t="str">
        <f>'휴가대장 관리용'!Q11</f>
        <v>18일,21일,
22일,23일,24일,25일</v>
      </c>
      <c r="N16" s="135" t="str">
        <f>'휴가대장 관리용'!R11</f>
        <v>1일</v>
      </c>
      <c r="O16" s="135">
        <f>'휴가대장 관리용'!S11</f>
        <v>0</v>
      </c>
      <c r="P16" s="135">
        <f>'휴가대장 관리용'!T11</f>
        <v>0</v>
      </c>
      <c r="Q16" s="135">
        <f>'휴가대장 관리용'!U11</f>
        <v>0</v>
      </c>
      <c r="R16" s="136">
        <f>'휴가대장 관리용'!V11</f>
        <v>0</v>
      </c>
    </row>
    <row r="17" spans="1:18" ht="32.1" customHeight="1" x14ac:dyDescent="0.4">
      <c r="A17" s="158">
        <v>5</v>
      </c>
      <c r="B17" s="89" t="str">
        <f>'휴가대장 관리용'!C12</f>
        <v>하치복</v>
      </c>
      <c r="C17" s="130" t="str">
        <f>'휴가대장 관리용'!D12</f>
        <v>2004-03-15</v>
      </c>
      <c r="D17" s="131">
        <f>'휴가대장 관리용'!H12</f>
        <v>25</v>
      </c>
      <c r="E17" s="132">
        <f>'휴가대장 관리용'!I12</f>
        <v>6.5</v>
      </c>
      <c r="F17" s="133">
        <f>'휴가대장 관리용'!J12</f>
        <v>18.5</v>
      </c>
      <c r="G17" s="134" t="str">
        <f>'휴가대장 관리용'!K12</f>
        <v>10일</v>
      </c>
      <c r="H17" s="135" t="str">
        <f>'휴가대장 관리용'!L12</f>
        <v>21일</v>
      </c>
      <c r="I17" s="135">
        <f>'휴가대장 관리용'!M12</f>
        <v>28</v>
      </c>
      <c r="J17" s="135" t="str">
        <f>'휴가대장 관리용'!N12</f>
        <v>18일</v>
      </c>
      <c r="K17" s="135">
        <f>'휴가대장 관리용'!O12</f>
        <v>0</v>
      </c>
      <c r="L17" s="135">
        <f>'휴가대장 관리용'!P12</f>
        <v>0</v>
      </c>
      <c r="M17" s="135" t="str">
        <f>'휴가대장 관리용'!Q12</f>
        <v>11일(오후반차),
31일</v>
      </c>
      <c r="N17" s="135" t="str">
        <f>'휴가대장 관리용'!R12</f>
        <v>1일</v>
      </c>
      <c r="O17" s="135">
        <f>'휴가대장 관리용'!S12</f>
        <v>0</v>
      </c>
      <c r="P17" s="135">
        <f>'휴가대장 관리용'!T12</f>
        <v>0</v>
      </c>
      <c r="Q17" s="135">
        <f>'휴가대장 관리용'!U12</f>
        <v>0</v>
      </c>
      <c r="R17" s="136">
        <f>'휴가대장 관리용'!V12</f>
        <v>0</v>
      </c>
    </row>
    <row r="18" spans="1:18" ht="32.1" customHeight="1" x14ac:dyDescent="0.4">
      <c r="A18" s="158">
        <v>6</v>
      </c>
      <c r="B18" s="89" t="str">
        <f>'휴가대장 관리용'!C13</f>
        <v>권혁진</v>
      </c>
      <c r="C18" s="130" t="str">
        <f>'휴가대장 관리용'!D13</f>
        <v>2004-11-10</v>
      </c>
      <c r="D18" s="131">
        <f>'휴가대장 관리용'!H13</f>
        <v>25</v>
      </c>
      <c r="E18" s="132">
        <f>'휴가대장 관리용'!I13</f>
        <v>3</v>
      </c>
      <c r="F18" s="133">
        <f>'휴가대장 관리용'!J13</f>
        <v>22</v>
      </c>
      <c r="G18" s="134" t="str">
        <f>'휴가대장 관리용'!K13</f>
        <v>3일(오후반자),
20일,31일</v>
      </c>
      <c r="H18" s="135" t="str">
        <f>'휴가대장 관리용'!L13</f>
        <v>7일(오후반차)</v>
      </c>
      <c r="I18" s="135">
        <f>'휴가대장 관리용'!M13</f>
        <v>0</v>
      </c>
      <c r="J18" s="135">
        <f>'휴가대장 관리용'!N13</f>
        <v>0</v>
      </c>
      <c r="K18" s="135">
        <f>'휴가대장 관리용'!O13</f>
        <v>0</v>
      </c>
      <c r="L18" s="135">
        <f>'휴가대장 관리용'!P13</f>
        <v>0</v>
      </c>
      <c r="M18" s="135">
        <f>'휴가대장 관리용'!Q13</f>
        <v>0</v>
      </c>
      <c r="N18" s="135">
        <f>'휴가대장 관리용'!R13</f>
        <v>0</v>
      </c>
      <c r="O18" s="135">
        <f>'휴가대장 관리용'!S13</f>
        <v>0</v>
      </c>
      <c r="P18" s="135">
        <f>'휴가대장 관리용'!T13</f>
        <v>0</v>
      </c>
      <c r="Q18" s="135">
        <f>'휴가대장 관리용'!U13</f>
        <v>0</v>
      </c>
      <c r="R18" s="136">
        <f>'휴가대장 관리용'!V13</f>
        <v>0</v>
      </c>
    </row>
    <row r="19" spans="1:18" ht="32.1" customHeight="1" x14ac:dyDescent="0.4">
      <c r="A19" s="158">
        <v>7</v>
      </c>
      <c r="B19" s="89" t="str">
        <f>'휴가대장 관리용'!C14</f>
        <v>김경태</v>
      </c>
      <c r="C19" s="130" t="str">
        <f>'휴가대장 관리용'!D14</f>
        <v>2013-04-26</v>
      </c>
      <c r="D19" s="131">
        <f>'휴가대장 관리용'!H14</f>
        <v>20</v>
      </c>
      <c r="E19" s="132">
        <f>'휴가대장 관리용'!I14</f>
        <v>11</v>
      </c>
      <c r="F19" s="133">
        <f>'휴가대장 관리용'!J14</f>
        <v>9</v>
      </c>
      <c r="G19" s="134" t="str">
        <f>'휴가대장 관리용'!K14</f>
        <v>10일(오후반차),
31일</v>
      </c>
      <c r="H19" s="135" t="str">
        <f>'휴가대장 관리용'!L14</f>
        <v>11일,12일,13일,19일</v>
      </c>
      <c r="I19" s="135" t="str">
        <f>'휴가대장 관리용'!M14</f>
        <v>4일</v>
      </c>
      <c r="J19" s="135" t="str">
        <f>'휴가대장 관리용'!N14</f>
        <v>7일,
23일(오후반차)</v>
      </c>
      <c r="K19" s="135">
        <f>'휴가대장 관리용'!O14</f>
        <v>0</v>
      </c>
      <c r="L19" s="135">
        <f>'휴가대장 관리용'!P14</f>
        <v>0</v>
      </c>
      <c r="M19" s="135" t="str">
        <f>'휴가대장 관리용'!Q14</f>
        <v>11일,31일</v>
      </c>
      <c r="N19" s="135" t="str">
        <f>'휴가대장 관리용'!R14</f>
        <v>1일</v>
      </c>
      <c r="O19" s="135">
        <f>'휴가대장 관리용'!S14</f>
        <v>0</v>
      </c>
      <c r="P19" s="135">
        <f>'휴가대장 관리용'!T14</f>
        <v>0</v>
      </c>
      <c r="Q19" s="135">
        <f>'휴가대장 관리용'!U14</f>
        <v>0</v>
      </c>
      <c r="R19" s="136">
        <f>'휴가대장 관리용'!V14</f>
        <v>0</v>
      </c>
    </row>
    <row r="20" spans="1:18" ht="32.1" customHeight="1" x14ac:dyDescent="0.4">
      <c r="A20" s="158">
        <v>8</v>
      </c>
      <c r="B20" s="89" t="str">
        <f>'휴가대장 관리용'!C15</f>
        <v>조근일</v>
      </c>
      <c r="C20" s="130" t="str">
        <f>'휴가대장 관리용'!D15</f>
        <v>2013-11-04</v>
      </c>
      <c r="D20" s="131">
        <f>'휴가대장 관리용'!H15</f>
        <v>20</v>
      </c>
      <c r="E20" s="132">
        <f>'휴가대장 관리용'!I15</f>
        <v>6.5</v>
      </c>
      <c r="F20" s="133">
        <f>'휴가대장 관리용'!J15</f>
        <v>13.5</v>
      </c>
      <c r="G20" s="134" t="str">
        <f>'휴가대장 관리용'!K15</f>
        <v>2일</v>
      </c>
      <c r="H20" s="135" t="str">
        <f>'휴가대장 관리용'!L15</f>
        <v>12일,13일,14일</v>
      </c>
      <c r="I20" s="135" t="str">
        <f>'휴가대장 관리용'!M15</f>
        <v>27(오전반차)</v>
      </c>
      <c r="J20" s="135" t="str">
        <f>'휴가대장 관리용'!N15</f>
        <v>8일(오전반차)</v>
      </c>
      <c r="K20" s="135" t="str">
        <f>'휴가대장 관리용'!O15</f>
        <v>28일(오후반차)</v>
      </c>
      <c r="L20" s="135">
        <f>'휴가대장 관리용'!P15</f>
        <v>0</v>
      </c>
      <c r="M20" s="135" t="str">
        <f>'휴가대장 관리용'!Q15</f>
        <v>2일(오후반차)</v>
      </c>
      <c r="N20" s="135" t="str">
        <f>'휴가대장 관리용'!R15</f>
        <v>1일(오후반차)</v>
      </c>
      <c r="O20" s="135">
        <f>'휴가대장 관리용'!S15</f>
        <v>0</v>
      </c>
      <c r="P20" s="135">
        <f>'휴가대장 관리용'!T15</f>
        <v>0</v>
      </c>
      <c r="Q20" s="135">
        <f>'휴가대장 관리용'!U15</f>
        <v>0</v>
      </c>
      <c r="R20" s="136">
        <f>'휴가대장 관리용'!V15</f>
        <v>0</v>
      </c>
    </row>
    <row r="21" spans="1:18" ht="32.1" customHeight="1" x14ac:dyDescent="0.4">
      <c r="A21" s="158">
        <v>9</v>
      </c>
      <c r="B21" s="89" t="str">
        <f>'휴가대장 관리용'!C16</f>
        <v>이재형</v>
      </c>
      <c r="C21" s="130" t="str">
        <f>'휴가대장 관리용'!D16</f>
        <v>2015-03-16</v>
      </c>
      <c r="D21" s="131">
        <f>'휴가대장 관리용'!H16</f>
        <v>19</v>
      </c>
      <c r="E21" s="132">
        <f>'휴가대장 관리용'!I16</f>
        <v>9.5</v>
      </c>
      <c r="F21" s="133">
        <f>'휴가대장 관리용'!J16</f>
        <v>9.5</v>
      </c>
      <c r="G21" s="134" t="str">
        <f>'휴가대장 관리용'!K16</f>
        <v>9일(오전반차),14일,
20일(오후반차)</v>
      </c>
      <c r="H21" s="135" t="str">
        <f>'휴가대장 관리용'!L16</f>
        <v>28일</v>
      </c>
      <c r="I21" s="135" t="str">
        <f>'휴가대장 관리용'!M16</f>
        <v>24(오후반차)</v>
      </c>
      <c r="J21" s="135">
        <f>'휴가대장 관리용'!N16</f>
        <v>0</v>
      </c>
      <c r="K21" s="135" t="str">
        <f>'휴가대장 관리용'!O16</f>
        <v>2일</v>
      </c>
      <c r="L21" s="135" t="str">
        <f>'휴가대장 관리용'!P16</f>
        <v>9일(오전반차),
16일(오후반차),
30일(오전)</v>
      </c>
      <c r="M21" s="135" t="str">
        <f>'휴가대장 관리용'!Q16</f>
        <v>7일,
18일(오후반차)</v>
      </c>
      <c r="N21" s="135" t="str">
        <f>'휴가대장 관리용'!R16</f>
        <v>12일,13일</v>
      </c>
      <c r="O21" s="135">
        <f>'휴가대장 관리용'!S16</f>
        <v>0</v>
      </c>
      <c r="P21" s="135">
        <f>'휴가대장 관리용'!T16</f>
        <v>0</v>
      </c>
      <c r="Q21" s="135">
        <f>'휴가대장 관리용'!U16</f>
        <v>0</v>
      </c>
      <c r="R21" s="136">
        <f>'휴가대장 관리용'!V16</f>
        <v>0</v>
      </c>
    </row>
    <row r="22" spans="1:18" ht="32.1" customHeight="1" x14ac:dyDescent="0.4">
      <c r="A22" s="158">
        <v>10</v>
      </c>
      <c r="B22" s="89" t="str">
        <f>'휴가대장 관리용'!C17</f>
        <v>임소연</v>
      </c>
      <c r="C22" s="130" t="str">
        <f>'휴가대장 관리용'!D17</f>
        <v>2006-12-01</v>
      </c>
      <c r="D22" s="131">
        <f>'휴가대장 관리용'!H17</f>
        <v>23</v>
      </c>
      <c r="E22" s="132">
        <f>'휴가대장 관리용'!I17</f>
        <v>13.5</v>
      </c>
      <c r="F22" s="133">
        <f>'휴가대장 관리용'!J17</f>
        <v>9.5</v>
      </c>
      <c r="G22" s="134" t="str">
        <f>'휴가대장 관리용'!K17</f>
        <v>2일,8일(오전반차),
22일,31일</v>
      </c>
      <c r="H22" s="135" t="str">
        <f>'휴가대장 관리용'!L17</f>
        <v>28일</v>
      </c>
      <c r="I22" s="135" t="str">
        <f>'휴가대장 관리용'!M17</f>
        <v>4,25(오후반차)</v>
      </c>
      <c r="J22" s="135" t="str">
        <f>'휴가대장 관리용'!N17</f>
        <v>17일,18일23일,
30일(오후반차)</v>
      </c>
      <c r="K22" s="135" t="str">
        <f>'휴가대장 관리용'!O17</f>
        <v>27일(오전반차)</v>
      </c>
      <c r="L22" s="135" t="str">
        <f>'휴가대장 관리용'!P17</f>
        <v>18일(오후반차)</v>
      </c>
      <c r="M22" s="135" t="str">
        <f>'휴가대장 관리용'!Q17</f>
        <v>30일,31일</v>
      </c>
      <c r="N22" s="135" t="str">
        <f>'휴가대장 관리용'!R17</f>
        <v>1일,4일</v>
      </c>
      <c r="O22" s="135">
        <f>'휴가대장 관리용'!S17</f>
        <v>0</v>
      </c>
      <c r="P22" s="135">
        <f>'휴가대장 관리용'!T17</f>
        <v>0</v>
      </c>
      <c r="Q22" s="135">
        <f>'휴가대장 관리용'!U17</f>
        <v>0</v>
      </c>
      <c r="R22" s="136">
        <f>'휴가대장 관리용'!V17</f>
        <v>0</v>
      </c>
    </row>
    <row r="23" spans="1:18" ht="32.1" customHeight="1" x14ac:dyDescent="0.4">
      <c r="A23" s="158">
        <v>11</v>
      </c>
      <c r="B23" s="89" t="str">
        <f>'휴가대장 관리용'!C18</f>
        <v>김지혜</v>
      </c>
      <c r="C23" s="130" t="str">
        <f>'휴가대장 관리용'!D18</f>
        <v>2018-02-06</v>
      </c>
      <c r="D23" s="131">
        <f>'휴가대장 관리용'!H18</f>
        <v>17</v>
      </c>
      <c r="E23" s="132">
        <f>'휴가대장 관리용'!I18</f>
        <v>7.5</v>
      </c>
      <c r="F23" s="133">
        <f>'휴가대장 관리용'!J18</f>
        <v>9.5</v>
      </c>
      <c r="G23" s="134" t="str">
        <f>'휴가대장 관리용'!K18</f>
        <v>31일</v>
      </c>
      <c r="H23" s="135" t="str">
        <f>'휴가대장 관리용'!L18</f>
        <v>21일,28일</v>
      </c>
      <c r="I23" s="135">
        <f>'휴가대장 관리용'!M18</f>
        <v>0</v>
      </c>
      <c r="J23" s="135">
        <f>'휴가대장 관리용'!N18</f>
        <v>0</v>
      </c>
      <c r="K23" s="135">
        <f>'휴가대장 관리용'!O18</f>
        <v>0</v>
      </c>
      <c r="L23" s="135" t="str">
        <f>'휴가대장 관리용'!P18</f>
        <v>18일(오후)</v>
      </c>
      <c r="M23" s="135" t="str">
        <f>'휴가대장 관리용'!Q18</f>
        <v>3일(오후반차),
4일,
17일(오후반차),
28일,29일</v>
      </c>
      <c r="N23" s="135">
        <f>'휴가대장 관리용'!R18</f>
        <v>0</v>
      </c>
      <c r="O23" s="135">
        <f>'휴가대장 관리용'!S18</f>
        <v>0</v>
      </c>
      <c r="P23" s="135">
        <f>'휴가대장 관리용'!T18</f>
        <v>0</v>
      </c>
      <c r="Q23" s="135">
        <f>'휴가대장 관리용'!U18</f>
        <v>0</v>
      </c>
      <c r="R23" s="136">
        <f>'휴가대장 관리용'!V18</f>
        <v>0</v>
      </c>
    </row>
    <row r="24" spans="1:18" ht="32.1" customHeight="1" x14ac:dyDescent="0.4">
      <c r="A24" s="158">
        <v>12</v>
      </c>
      <c r="B24" s="89" t="str">
        <f>'휴가대장 관리용'!C19</f>
        <v>정승후</v>
      </c>
      <c r="C24" s="130" t="str">
        <f>'휴가대장 관리용'!D19</f>
        <v>2018-07-02</v>
      </c>
      <c r="D24" s="131">
        <f>'휴가대장 관리용'!H19</f>
        <v>17</v>
      </c>
      <c r="E24" s="132">
        <f>'휴가대장 관리용'!I19</f>
        <v>13.5</v>
      </c>
      <c r="F24" s="133">
        <f>'휴가대장 관리용'!J19</f>
        <v>3.5</v>
      </c>
      <c r="G24" s="134" t="str">
        <f>'휴가대장 관리용'!K19</f>
        <v>3일(오후반차),
8일(오후반차),
9일(오후반차),
15일(오후반차),
17일(오전반차),
24일,
31일(오후반차)</v>
      </c>
      <c r="H24" s="135" t="str">
        <f>'휴가대장 관리용'!L19</f>
        <v>14일(오전반차),
19일(오후반차)</v>
      </c>
      <c r="I24" s="135" t="str">
        <f>'휴가대장 관리용'!M19</f>
        <v>14(오후반차),
25(오전반차)</v>
      </c>
      <c r="J24" s="135" t="str">
        <f>'휴가대장 관리용'!N19</f>
        <v>8일,
18일(오후반차),
22일(오후반차),
23일(오전반차)</v>
      </c>
      <c r="K24" s="135" t="str">
        <f>'휴가대장 관리용'!O19</f>
        <v>2일,
9일(오후반차),
19일(오후반차)</v>
      </c>
      <c r="L24" s="135" t="str">
        <f>'휴가대장 관리용'!P19</f>
        <v>13일(오후반차),
27일(오후반차)</v>
      </c>
      <c r="M24" s="135" t="str">
        <f>'휴가대장 관리용'!Q19</f>
        <v>15(오후반차),
16(오전반차),
18일(오후반차)</v>
      </c>
      <c r="N24" s="135" t="str">
        <f>'휴가대장 관리용'!R19</f>
        <v>18일(오후반차)</v>
      </c>
      <c r="O24" s="135">
        <f>'휴가대장 관리용'!S19</f>
        <v>0</v>
      </c>
      <c r="P24" s="135">
        <f>'휴가대장 관리용'!T19</f>
        <v>0</v>
      </c>
      <c r="Q24" s="135">
        <f>'휴가대장 관리용'!U19</f>
        <v>0</v>
      </c>
      <c r="R24" s="136">
        <f>'휴가대장 관리용'!V19</f>
        <v>0</v>
      </c>
    </row>
    <row r="25" spans="1:18" ht="32.1" customHeight="1" x14ac:dyDescent="0.4">
      <c r="A25" s="158">
        <v>13</v>
      </c>
      <c r="B25" s="89" t="str">
        <f>'휴가대장 관리용'!C20</f>
        <v>나유성</v>
      </c>
      <c r="C25" s="130" t="str">
        <f>'휴가대장 관리용'!D20</f>
        <v>2018-09-27</v>
      </c>
      <c r="D25" s="131">
        <f>'휴가대장 관리용'!H20</f>
        <v>17</v>
      </c>
      <c r="E25" s="132">
        <f>'휴가대장 관리용'!I20</f>
        <v>6.5</v>
      </c>
      <c r="F25" s="133">
        <f>'휴가대장 관리용'!J20</f>
        <v>10.5</v>
      </c>
      <c r="G25" s="134" t="str">
        <f>'휴가대장 관리용'!K20</f>
        <v>17일(오전반차),
17일(오후반차)</v>
      </c>
      <c r="H25" s="135">
        <f>'휴가대장 관리용'!L20</f>
        <v>28</v>
      </c>
      <c r="I25" s="135" t="str">
        <f>'휴가대장 관리용'!M20</f>
        <v>4일,5일</v>
      </c>
      <c r="J25" s="135" t="str">
        <f>'휴가대장 관리용'!N20</f>
        <v>25일</v>
      </c>
      <c r="K25" s="135">
        <f>'휴가대장 관리용'!O20</f>
        <v>0</v>
      </c>
      <c r="L25" s="135" t="str">
        <f>'휴가대장 관리용'!P20</f>
        <v>20일(오후반차)</v>
      </c>
      <c r="M25" s="135">
        <f>'휴가대장 관리용'!Q20</f>
        <v>0</v>
      </c>
      <c r="N25" s="135" t="str">
        <f>'휴가대장 관리용'!R20</f>
        <v>1일(오전반차),
14일(오후반차)</v>
      </c>
      <c r="O25" s="135">
        <f>'휴가대장 관리용'!S20</f>
        <v>0</v>
      </c>
      <c r="P25" s="135">
        <f>'휴가대장 관리용'!T20</f>
        <v>0</v>
      </c>
      <c r="Q25" s="135">
        <f>'휴가대장 관리용'!U20</f>
        <v>0</v>
      </c>
      <c r="R25" s="136">
        <f>'휴가대장 관리용'!V20</f>
        <v>0</v>
      </c>
    </row>
    <row r="26" spans="1:18" ht="32.1" customHeight="1" x14ac:dyDescent="0.4">
      <c r="A26" s="158">
        <v>14</v>
      </c>
      <c r="B26" s="89" t="str">
        <f>'휴가대장 관리용'!C21</f>
        <v>정현웅</v>
      </c>
      <c r="C26" s="130" t="str">
        <f>'휴가대장 관리용'!D21</f>
        <v>2018-07-25</v>
      </c>
      <c r="D26" s="131">
        <f>'휴가대장 관리용'!H21</f>
        <v>17</v>
      </c>
      <c r="E26" s="132">
        <f>'휴가대장 관리용'!I21</f>
        <v>2</v>
      </c>
      <c r="F26" s="133">
        <f>'휴가대장 관리용'!J21</f>
        <v>15</v>
      </c>
      <c r="G26" s="134" t="str">
        <f>'휴가대장 관리용'!K21</f>
        <v>3일,9일(오전반차)</v>
      </c>
      <c r="H26" s="135">
        <f>'휴가대장 관리용'!L21</f>
        <v>0</v>
      </c>
      <c r="I26" s="135">
        <f>'휴가대장 관리용'!M21</f>
        <v>0</v>
      </c>
      <c r="J26" s="135">
        <f>'휴가대장 관리용'!N21</f>
        <v>0</v>
      </c>
      <c r="K26" s="135">
        <f>'휴가대장 관리용'!O21</f>
        <v>0</v>
      </c>
      <c r="L26" s="135">
        <f>'휴가대장 관리용'!P21</f>
        <v>0</v>
      </c>
      <c r="M26" s="135">
        <f>'휴가대장 관리용'!Q21</f>
        <v>0</v>
      </c>
      <c r="N26" s="135">
        <f>'휴가대장 관리용'!R21</f>
        <v>0</v>
      </c>
      <c r="O26" s="135">
        <f>'휴가대장 관리용'!S21</f>
        <v>0</v>
      </c>
      <c r="P26" s="135">
        <f>'휴가대장 관리용'!T21</f>
        <v>0</v>
      </c>
      <c r="Q26" s="135">
        <f>'휴가대장 관리용'!U21</f>
        <v>0</v>
      </c>
      <c r="R26" s="136">
        <f>'휴가대장 관리용'!V21</f>
        <v>0</v>
      </c>
    </row>
    <row r="27" spans="1:18" ht="32.1" customHeight="1" x14ac:dyDescent="0.4">
      <c r="A27" s="158">
        <v>15</v>
      </c>
      <c r="B27" s="89" t="str">
        <f>'휴가대장 관리용'!C22</f>
        <v>정희웅</v>
      </c>
      <c r="C27" s="130" t="str">
        <f>'휴가대장 관리용'!D22</f>
        <v>2018-09-27</v>
      </c>
      <c r="D27" s="131">
        <f>'휴가대장 관리용'!H22</f>
        <v>17</v>
      </c>
      <c r="E27" s="132">
        <f>'휴가대장 관리용'!I22</f>
        <v>9</v>
      </c>
      <c r="F27" s="133">
        <f>'휴가대장 관리용'!J22</f>
        <v>8</v>
      </c>
      <c r="G27" s="134" t="str">
        <f>'휴가대장 관리용'!K22</f>
        <v>17일,20일</v>
      </c>
      <c r="H27" s="135" t="str">
        <f>'휴가대장 관리용'!L22</f>
        <v>6일(오전반차),
10일(오후반차)
18일</v>
      </c>
      <c r="I27" s="135" t="str">
        <f>'휴가대장 관리용'!M22</f>
        <v>13(오전반차)</v>
      </c>
      <c r="J27" s="135" t="str">
        <f>'휴가대장 관리용'!N22</f>
        <v>9일(오후반차),
17일</v>
      </c>
      <c r="K27" s="135">
        <f>'휴가대장 관리용'!O22</f>
        <v>0</v>
      </c>
      <c r="L27" s="135" t="str">
        <f>'휴가대장 관리용'!P22</f>
        <v>11일,26일,27일,30일</v>
      </c>
      <c r="M27" s="135">
        <f>'휴가대장 관리용'!Q22</f>
        <v>0</v>
      </c>
      <c r="N27" s="135">
        <f>'휴가대장 관리용'!R22</f>
        <v>0</v>
      </c>
      <c r="O27" s="135">
        <f>'휴가대장 관리용'!S22</f>
        <v>0</v>
      </c>
      <c r="P27" s="135">
        <f>'휴가대장 관리용'!T22</f>
        <v>0</v>
      </c>
      <c r="Q27" s="135">
        <f>'휴가대장 관리용'!U22</f>
        <v>0</v>
      </c>
      <c r="R27" s="136">
        <f>'휴가대장 관리용'!V22</f>
        <v>0</v>
      </c>
    </row>
    <row r="28" spans="1:18" ht="32.1" customHeight="1" x14ac:dyDescent="0.4">
      <c r="A28" s="158">
        <v>16</v>
      </c>
      <c r="B28" s="89" t="str">
        <f>'휴가대장 관리용'!C23</f>
        <v>김희승</v>
      </c>
      <c r="C28" s="130" t="str">
        <f>'휴가대장 관리용'!D23</f>
        <v>2018-09-03</v>
      </c>
      <c r="D28" s="131">
        <f>'휴가대장 관리용'!H23</f>
        <v>17</v>
      </c>
      <c r="E28" s="132">
        <f>'휴가대장 관리용'!I23</f>
        <v>13</v>
      </c>
      <c r="F28" s="133">
        <f>'휴가대장 관리용'!J23</f>
        <v>4</v>
      </c>
      <c r="G28" s="134" t="str">
        <f>'휴가대장 관리용'!K23</f>
        <v>3일(오후반차),
20일,23일</v>
      </c>
      <c r="H28" s="135" t="str">
        <f>'휴가대장 관리용'!L23</f>
        <v>14일(오후반차),
19일(오전반차)</v>
      </c>
      <c r="I28" s="135" t="str">
        <f>'휴가대장 관리용'!M23</f>
        <v>06(오전반차),
25(오후반차)</v>
      </c>
      <c r="J28" s="135" t="str">
        <f>'휴가대장 관리용'!N23</f>
        <v>14일(오후반차),
21일(오후반차),
22일(오후반차)</v>
      </c>
      <c r="K28" s="135" t="str">
        <f>'휴가대장 관리용'!O23</f>
        <v>9일(오후반차),
16일(오후반차)</v>
      </c>
      <c r="L28" s="135" t="str">
        <f>'휴가대장 관리용'!P23</f>
        <v>16일(오후반차),
26일,27일</v>
      </c>
      <c r="M28" s="135" t="str">
        <f>'휴가대장 관리용'!Q23</f>
        <v>31일,1일</v>
      </c>
      <c r="N28" s="135" t="str">
        <f>'휴가대장 관리용'!R23</f>
        <v>18일(오전반차),
11일,
8일(오후반차)</v>
      </c>
      <c r="O28" s="135">
        <f>'휴가대장 관리용'!S23</f>
        <v>0</v>
      </c>
      <c r="P28" s="135">
        <f>'휴가대장 관리용'!T23</f>
        <v>0</v>
      </c>
      <c r="Q28" s="135">
        <f>'휴가대장 관리용'!U23</f>
        <v>0</v>
      </c>
      <c r="R28" s="136">
        <f>'휴가대장 관리용'!V23</f>
        <v>0</v>
      </c>
    </row>
    <row r="29" spans="1:18" ht="32.1" customHeight="1" x14ac:dyDescent="0.4">
      <c r="A29" s="158">
        <v>17</v>
      </c>
      <c r="B29" s="89" t="str">
        <f>'휴가대장 관리용'!C24</f>
        <v>곽병현</v>
      </c>
      <c r="C29" s="130" t="str">
        <f>'휴가대장 관리용'!D24</f>
        <v>2019-04-08</v>
      </c>
      <c r="D29" s="131">
        <f>'휴가대장 관리용'!H24</f>
        <v>17</v>
      </c>
      <c r="E29" s="132">
        <f>'휴가대장 관리용'!I24</f>
        <v>10.5</v>
      </c>
      <c r="F29" s="133">
        <f>'휴가대장 관리용'!J24</f>
        <v>6.5</v>
      </c>
      <c r="G29" s="134" t="str">
        <f>'휴가대장 관리용'!K24</f>
        <v>10일</v>
      </c>
      <c r="H29" s="135" t="str">
        <f>'휴가대장 관리용'!L24</f>
        <v>28일</v>
      </c>
      <c r="I29" s="135" t="str">
        <f>'휴가대장 관리용'!M24</f>
        <v>4일,5일</v>
      </c>
      <c r="J29" s="135">
        <f>'휴가대장 관리용'!N24</f>
        <v>0</v>
      </c>
      <c r="K29" s="135" t="str">
        <f>'휴가대장 관리용'!O24</f>
        <v>15일(오후반차),
16일</v>
      </c>
      <c r="L29" s="135" t="str">
        <f>'휴가대장 관리용'!P24</f>
        <v>30일(오후반차)</v>
      </c>
      <c r="M29" s="135" t="str">
        <f>'휴가대장 관리용'!Q24</f>
        <v>8일,9일,10일,11일</v>
      </c>
      <c r="N29" s="135" t="str">
        <f>'휴가대장 관리용'!R24</f>
        <v>13일(오후반차)</v>
      </c>
      <c r="O29" s="135">
        <f>'휴가대장 관리용'!S24</f>
        <v>0</v>
      </c>
      <c r="P29" s="135">
        <f>'휴가대장 관리용'!T24</f>
        <v>0</v>
      </c>
      <c r="Q29" s="135">
        <f>'휴가대장 관리용'!U24</f>
        <v>0</v>
      </c>
      <c r="R29" s="136">
        <f>'휴가대장 관리용'!V24</f>
        <v>0</v>
      </c>
    </row>
    <row r="30" spans="1:18" ht="32.1" customHeight="1" x14ac:dyDescent="0.4">
      <c r="A30" s="158">
        <v>18</v>
      </c>
      <c r="B30" s="89" t="str">
        <f>'휴가대장 관리용'!C25</f>
        <v>윤은호</v>
      </c>
      <c r="C30" s="130" t="str">
        <f>'휴가대장 관리용'!D25</f>
        <v>2019-07-01</v>
      </c>
      <c r="D30" s="131">
        <f>'휴가대장 관리용'!H25</f>
        <v>18</v>
      </c>
      <c r="E30" s="132">
        <f>'휴가대장 관리용'!I25</f>
        <v>17.5</v>
      </c>
      <c r="F30" s="133">
        <f>'휴가대장 관리용'!J25</f>
        <v>0.5</v>
      </c>
      <c r="G30" s="134" t="str">
        <f>'휴가대장 관리용'!K25</f>
        <v>10일,
17일(오후반차)</v>
      </c>
      <c r="H30" s="135" t="str">
        <f>'휴가대장 관리용'!L25</f>
        <v>7일,
14일(오후반차)</v>
      </c>
      <c r="I30" s="135" t="str">
        <f>'휴가대장 관리용'!M25</f>
        <v>17,18,
28(오후반차)</v>
      </c>
      <c r="J30" s="135" t="str">
        <f>'휴가대장 관리용'!N25</f>
        <v>11일,
22(오후반차)</v>
      </c>
      <c r="K30" s="135" t="str">
        <f>'휴가대장 관리용'!O25</f>
        <v>22일</v>
      </c>
      <c r="L30" s="135" t="str">
        <f>'휴가대장 관리용'!P25</f>
        <v>10일(오후반차),
23일(오후반차),
27일</v>
      </c>
      <c r="M30" s="135" t="str">
        <f>'휴가대장 관리용'!Q25</f>
        <v>14일,
15일(오후반차),
18일,21일,
22일,23일,24일,25일</v>
      </c>
      <c r="N30" s="135">
        <f>'휴가대장 관리용'!R25</f>
        <v>0</v>
      </c>
      <c r="O30" s="135">
        <f>'휴가대장 관리용'!S25</f>
        <v>0</v>
      </c>
      <c r="P30" s="135">
        <f>'휴가대장 관리용'!T25</f>
        <v>0</v>
      </c>
      <c r="Q30" s="135">
        <f>'휴가대장 관리용'!U25</f>
        <v>0</v>
      </c>
      <c r="R30" s="136">
        <f>'휴가대장 관리용'!V25</f>
        <v>0</v>
      </c>
    </row>
    <row r="31" spans="1:18" ht="32.1" customHeight="1" x14ac:dyDescent="0.4">
      <c r="A31" s="158">
        <v>19</v>
      </c>
      <c r="B31" s="89" t="str">
        <f>'휴가대장 관리용'!C26</f>
        <v>김윤회</v>
      </c>
      <c r="C31" s="130" t="str">
        <f>'휴가대장 관리용'!D26</f>
        <v>2019-11-02</v>
      </c>
      <c r="D31" s="131">
        <f>'휴가대장 관리용'!H26</f>
        <v>18</v>
      </c>
      <c r="E31" s="132">
        <f>'휴가대장 관리용'!I26</f>
        <v>14.5</v>
      </c>
      <c r="F31" s="133">
        <f>'휴가대장 관리용'!J26</f>
        <v>3.5</v>
      </c>
      <c r="G31" s="134" t="str">
        <f>'휴가대장 관리용'!K26</f>
        <v>8일(오후반차),
9일</v>
      </c>
      <c r="H31" s="135" t="str">
        <f>'휴가대장 관리용'!L26</f>
        <v>14일</v>
      </c>
      <c r="I31" s="135" t="str">
        <f>'휴가대장 관리용'!M26</f>
        <v>7,
20(오후반차),
24</v>
      </c>
      <c r="J31" s="135" t="str">
        <f>'휴가대장 관리용'!N26</f>
        <v>1일(오후반차),
7일,8일,
9일,10일,11일,21일</v>
      </c>
      <c r="K31" s="135" t="str">
        <f>'휴가대장 관리용'!O26</f>
        <v>12일(오전반차),
26일(오전반차)</v>
      </c>
      <c r="L31" s="135" t="str">
        <f>'휴가대장 관리용'!P26</f>
        <v>26일(오후반차)</v>
      </c>
      <c r="M31" s="135">
        <f>'휴가대장 관리용'!Q26</f>
        <v>0</v>
      </c>
      <c r="N31" s="135" t="str">
        <f>'휴가대장 관리용'!R26</f>
        <v>1일(오후반차),
18일(오전반차)</v>
      </c>
      <c r="O31" s="135">
        <f>'휴가대장 관리용'!S26</f>
        <v>0</v>
      </c>
      <c r="P31" s="135">
        <f>'휴가대장 관리용'!T26</f>
        <v>0</v>
      </c>
      <c r="Q31" s="135">
        <f>'휴가대장 관리용'!U26</f>
        <v>0</v>
      </c>
      <c r="R31" s="136">
        <f>'휴가대장 관리용'!V26</f>
        <v>0</v>
      </c>
    </row>
    <row r="32" spans="1:18" ht="32.1" customHeight="1" x14ac:dyDescent="0.4">
      <c r="A32" s="158">
        <v>20</v>
      </c>
      <c r="B32" s="89" t="str">
        <f>'휴가대장 관리용'!C27</f>
        <v>석진태</v>
      </c>
      <c r="C32" s="130" t="str">
        <f>'휴가대장 관리용'!D27</f>
        <v>2022-03-21</v>
      </c>
      <c r="D32" s="131">
        <f>'휴가대장 관리용'!H27</f>
        <v>15</v>
      </c>
      <c r="E32" s="132">
        <f>'휴가대장 관리용'!I27</f>
        <v>8</v>
      </c>
      <c r="F32" s="133">
        <f>'휴가대장 관리용'!J27</f>
        <v>7</v>
      </c>
      <c r="G32" s="134" t="str">
        <f>'휴가대장 관리용'!K27</f>
        <v>3일,10일,14일</v>
      </c>
      <c r="H32" s="135" t="str">
        <f>'휴가대장 관리용'!L27</f>
        <v>3일</v>
      </c>
      <c r="I32" s="135" t="str">
        <f>'휴가대장 관리용'!M27</f>
        <v>12(오후반차)</v>
      </c>
      <c r="J32" s="135">
        <f>'휴가대장 관리용'!N27</f>
        <v>0</v>
      </c>
      <c r="K32" s="135" t="str">
        <f>'휴가대장 관리용'!O27</f>
        <v>19일(오후반차)</v>
      </c>
      <c r="L32" s="135" t="str">
        <f>'휴가대장 관리용'!P27</f>
        <v>23일</v>
      </c>
      <c r="M32" s="135" t="str">
        <f>'휴가대장 관리용'!Q27</f>
        <v>02일</v>
      </c>
      <c r="N32" s="135" t="str">
        <f>'휴가대장 관리용'!R27</f>
        <v>5일</v>
      </c>
      <c r="O32" s="135">
        <f>'휴가대장 관리용'!S27</f>
        <v>0</v>
      </c>
      <c r="P32" s="135">
        <f>'휴가대장 관리용'!T27</f>
        <v>0</v>
      </c>
      <c r="Q32" s="135">
        <f>'휴가대장 관리용'!U27</f>
        <v>0</v>
      </c>
      <c r="R32" s="136">
        <f>'휴가대장 관리용'!V27</f>
        <v>0</v>
      </c>
    </row>
    <row r="33" spans="1:18" ht="32.1" customHeight="1" x14ac:dyDescent="0.4">
      <c r="A33" s="158">
        <v>21</v>
      </c>
      <c r="B33" s="89" t="str">
        <f>'휴가대장 관리용'!C28</f>
        <v>여도근</v>
      </c>
      <c r="C33" s="130" t="str">
        <f>'휴가대장 관리용'!D28</f>
        <v>2022-04-01</v>
      </c>
      <c r="D33" s="131">
        <f>'휴가대장 관리용'!H28</f>
        <v>15</v>
      </c>
      <c r="E33" s="132">
        <f>'휴가대장 관리용'!I28</f>
        <v>7</v>
      </c>
      <c r="F33" s="133">
        <f>'휴가대장 관리용'!J28</f>
        <v>8</v>
      </c>
      <c r="G33" s="134" t="str">
        <f>'휴가대장 관리용'!K28</f>
        <v>6일(오후반차),
9일(오전반차),
24일(오후반차)</v>
      </c>
      <c r="H33" s="135" t="str">
        <f>'휴가대장 관리용'!L28</f>
        <v>12일(오전반차)</v>
      </c>
      <c r="I33" s="135" t="str">
        <f>'휴가대장 관리용'!M28</f>
        <v>24(오후반차)</v>
      </c>
      <c r="J33" s="135" t="str">
        <f>'휴가대장 관리용'!N28</f>
        <v>1일(오전)</v>
      </c>
      <c r="K33" s="135" t="str">
        <f>'휴가대장 관리용'!O28</f>
        <v>16일</v>
      </c>
      <c r="L33" s="135" t="str">
        <f>'휴가대장 관리용'!P28</f>
        <v>25일(오전반차),
30일</v>
      </c>
      <c r="M33" s="135" t="str">
        <f>'휴가대장 관리용'!Q28</f>
        <v>9일(오후반차),
28일</v>
      </c>
      <c r="N33" s="135">
        <f>'휴가대장 관리용'!R28</f>
        <v>0</v>
      </c>
      <c r="O33" s="135">
        <f>'휴가대장 관리용'!S28</f>
        <v>0</v>
      </c>
      <c r="P33" s="135">
        <f>'휴가대장 관리용'!T28</f>
        <v>0</v>
      </c>
      <c r="Q33" s="135">
        <f>'휴가대장 관리용'!U28</f>
        <v>0</v>
      </c>
      <c r="R33" s="136">
        <f>'휴가대장 관리용'!V28</f>
        <v>0</v>
      </c>
    </row>
    <row r="34" spans="1:18" ht="32.1" customHeight="1" x14ac:dyDescent="0.4">
      <c r="A34" s="158">
        <v>22</v>
      </c>
      <c r="B34" s="89" t="str">
        <f>'휴가대장 관리용'!C29</f>
        <v>강영은</v>
      </c>
      <c r="C34" s="130" t="str">
        <f>'휴가대장 관리용'!D29</f>
        <v>2022-08-03</v>
      </c>
      <c r="D34" s="131">
        <f>'휴가대장 관리용'!H29</f>
        <v>15</v>
      </c>
      <c r="E34" s="132">
        <f>'휴가대장 관리용'!I29</f>
        <v>5</v>
      </c>
      <c r="F34" s="133">
        <f>'휴가대장 관리용'!J29</f>
        <v>10</v>
      </c>
      <c r="G34" s="134" t="str">
        <f>'휴가대장 관리용'!K29</f>
        <v>9일(오후반차),
15일(오후반차)</v>
      </c>
      <c r="H34" s="135" t="str">
        <f>'휴가대장 관리용'!L29</f>
        <v>14일(오후반차)</v>
      </c>
      <c r="I34" s="135" t="str">
        <f>'휴가대장 관리용'!M29</f>
        <v>17,
25(오전반차)
25(오후반차)</v>
      </c>
      <c r="J34" s="135">
        <f>'휴가대장 관리용'!N29</f>
        <v>0</v>
      </c>
      <c r="K34" s="135">
        <f>'휴가대장 관리용'!O29</f>
        <v>0</v>
      </c>
      <c r="L34" s="135" t="str">
        <f>'휴가대장 관리용'!P29</f>
        <v>18일(오전반차),
18일(오후반차)</v>
      </c>
      <c r="M34" s="135" t="str">
        <f>'휴가대장 관리용'!Q29</f>
        <v>8일(오전반차)</v>
      </c>
      <c r="N34" s="135" t="str">
        <f>'휴가대장 관리용'!R29</f>
        <v>18일</v>
      </c>
      <c r="O34" s="135">
        <f>'휴가대장 관리용'!S29</f>
        <v>0</v>
      </c>
      <c r="P34" s="135">
        <f>'휴가대장 관리용'!T29</f>
        <v>0</v>
      </c>
      <c r="Q34" s="135">
        <f>'휴가대장 관리용'!U29</f>
        <v>0</v>
      </c>
      <c r="R34" s="136">
        <f>'휴가대장 관리용'!V29</f>
        <v>0</v>
      </c>
    </row>
    <row r="35" spans="1:18" ht="32.1" customHeight="1" x14ac:dyDescent="0.4">
      <c r="A35" s="158">
        <v>23</v>
      </c>
      <c r="B35" s="89" t="str">
        <f>'휴가대장 관리용'!C30</f>
        <v>이한빈</v>
      </c>
      <c r="C35" s="130" t="str">
        <f>'휴가대장 관리용'!D30</f>
        <v>2023-01-01</v>
      </c>
      <c r="D35" s="131">
        <f>'휴가대장 관리용'!H30</f>
        <v>15</v>
      </c>
      <c r="E35" s="132">
        <f>'휴가대장 관리용'!I30</f>
        <v>8.5</v>
      </c>
      <c r="F35" s="133">
        <f>'휴가대장 관리용'!J30</f>
        <v>6.5</v>
      </c>
      <c r="G35" s="134" t="str">
        <f>'휴가대장 관리용'!K30</f>
        <v>31일</v>
      </c>
      <c r="H35" s="135" t="str">
        <f>'휴가대장 관리용'!L30</f>
        <v>17일(오후반차),
18일</v>
      </c>
      <c r="I35" s="135" t="str">
        <f>'휴가대장 관리용'!M30</f>
        <v>21(오후반차)</v>
      </c>
      <c r="J35" s="135" t="str">
        <f>'휴가대장 관리용'!N30</f>
        <v>4일</v>
      </c>
      <c r="K35" s="135">
        <f>'휴가대장 관리용'!O30</f>
        <v>0</v>
      </c>
      <c r="L35" s="135" t="str">
        <f>'휴가대장 관리용'!P30</f>
        <v>27일,30일</v>
      </c>
      <c r="M35" s="135" t="str">
        <f>'휴가대장 관리용'!Q30</f>
        <v>28일,29일</v>
      </c>
      <c r="N35" s="135" t="str">
        <f>'휴가대장 관리용'!R30</f>
        <v>8일(오후반차)</v>
      </c>
      <c r="O35" s="135">
        <f>'휴가대장 관리용'!S30</f>
        <v>0</v>
      </c>
      <c r="P35" s="135">
        <f>'휴가대장 관리용'!T30</f>
        <v>0</v>
      </c>
      <c r="Q35" s="135">
        <f>'휴가대장 관리용'!U30</f>
        <v>0</v>
      </c>
      <c r="R35" s="136">
        <f>'휴가대장 관리용'!V30</f>
        <v>0</v>
      </c>
    </row>
    <row r="36" spans="1:18" ht="32.1" customHeight="1" x14ac:dyDescent="0.4">
      <c r="A36" s="158">
        <v>24</v>
      </c>
      <c r="B36" s="89" t="str">
        <f>'휴가대장 관리용'!C31</f>
        <v>백현덕</v>
      </c>
      <c r="C36" s="130" t="str">
        <f>'휴가대장 관리용'!D31</f>
        <v>2023-03-06</v>
      </c>
      <c r="D36" s="131">
        <f>'휴가대장 관리용'!H31</f>
        <v>15</v>
      </c>
      <c r="E36" s="132">
        <f>'휴가대장 관리용'!I31</f>
        <v>5.5</v>
      </c>
      <c r="F36" s="133">
        <f>'휴가대장 관리용'!J31</f>
        <v>9.5</v>
      </c>
      <c r="G36" s="134" t="str">
        <f>'휴가대장 관리용'!K31</f>
        <v>9일(오후반차)</v>
      </c>
      <c r="H36" s="135">
        <f>'휴가대장 관리용'!L31</f>
        <v>28</v>
      </c>
      <c r="I36" s="135" t="str">
        <f>'휴가대장 관리용'!M31</f>
        <v>4,5</v>
      </c>
      <c r="J36" s="135">
        <f>'휴가대장 관리용'!N31</f>
        <v>0</v>
      </c>
      <c r="K36" s="135">
        <f>'휴가대장 관리용'!O31</f>
        <v>0</v>
      </c>
      <c r="L36" s="135" t="str">
        <f>'휴가대장 관리용'!P31</f>
        <v>24일(오후반차),
30일(오전반차)</v>
      </c>
      <c r="M36" s="135">
        <f>'휴가대장 관리용'!Q31</f>
        <v>0</v>
      </c>
      <c r="N36" s="135" t="str">
        <f>'휴가대장 관리용'!R31</f>
        <v>4일</v>
      </c>
      <c r="O36" s="135">
        <f>'휴가대장 관리용'!S31</f>
        <v>0</v>
      </c>
      <c r="P36" s="135">
        <f>'휴가대장 관리용'!T31</f>
        <v>0</v>
      </c>
      <c r="Q36" s="135">
        <f>'휴가대장 관리용'!U31</f>
        <v>0</v>
      </c>
      <c r="R36" s="136">
        <f>'휴가대장 관리용'!V31</f>
        <v>0</v>
      </c>
    </row>
    <row r="37" spans="1:18" ht="32.1" customHeight="1" x14ac:dyDescent="0.4">
      <c r="A37" s="158">
        <v>25</v>
      </c>
      <c r="B37" s="89" t="str">
        <f>'휴가대장 관리용'!C32</f>
        <v>이종근</v>
      </c>
      <c r="C37" s="130">
        <f>'휴가대장 관리용'!D32</f>
        <v>45586</v>
      </c>
      <c r="D37" s="131">
        <f>'휴가대장 관리용'!H32</f>
        <v>15</v>
      </c>
      <c r="E37" s="132">
        <f>'휴가대장 관리용'!I32</f>
        <v>6</v>
      </c>
      <c r="F37" s="133">
        <f>'휴가대장 관리용'!J32</f>
        <v>9</v>
      </c>
      <c r="G37" s="134">
        <f>'휴가대장 관리용'!K32</f>
        <v>0</v>
      </c>
      <c r="H37" s="135">
        <f>'휴가대장 관리용'!L32</f>
        <v>0</v>
      </c>
      <c r="I37" s="135">
        <f>'휴가대장 관리용'!M32</f>
        <v>0</v>
      </c>
      <c r="J37" s="135" t="str">
        <f>'휴가대장 관리용'!N32</f>
        <v>4일</v>
      </c>
      <c r="K37" s="135">
        <f>'휴가대장 관리용'!O32</f>
        <v>0</v>
      </c>
      <c r="L37" s="135" t="str">
        <f>'휴가대장 관리용'!P32</f>
        <v>2일,27일</v>
      </c>
      <c r="M37" s="135" t="str">
        <f>'휴가대장 관리용'!Q32</f>
        <v>21일,28일</v>
      </c>
      <c r="N37" s="135" t="str">
        <f>'휴가대장 관리용'!R32</f>
        <v>18일</v>
      </c>
      <c r="O37" s="135">
        <f>'휴가대장 관리용'!S32</f>
        <v>0</v>
      </c>
      <c r="P37" s="135">
        <f>'휴가대장 관리용'!T32</f>
        <v>0</v>
      </c>
      <c r="Q37" s="135">
        <f>'휴가대장 관리용'!U32</f>
        <v>0</v>
      </c>
      <c r="R37" s="136">
        <f>'휴가대장 관리용'!V32</f>
        <v>0</v>
      </c>
    </row>
    <row r="38" spans="1:18" ht="32.1" customHeight="1" x14ac:dyDescent="0.4">
      <c r="A38" s="158">
        <v>26</v>
      </c>
      <c r="B38" s="89" t="str">
        <f>'휴가대장 관리용'!C33</f>
        <v>이채령</v>
      </c>
      <c r="C38" s="130">
        <f>'휴가대장 관리용'!D33</f>
        <v>45663</v>
      </c>
      <c r="D38" s="131">
        <f>'휴가대장 관리용'!H33</f>
        <v>11</v>
      </c>
      <c r="E38" s="132">
        <f>'휴가대장 관리용'!I33</f>
        <v>2</v>
      </c>
      <c r="F38" s="133">
        <f>'휴가대장 관리용'!J33</f>
        <v>9</v>
      </c>
      <c r="G38" s="134" t="str">
        <f>'휴가대장 관리용'!K33</f>
        <v>10일(오후반차)</v>
      </c>
      <c r="H38" s="135" t="str">
        <f>'휴가대장 관리용'!L33</f>
        <v>7일(오후반차)</v>
      </c>
      <c r="I38" s="135" t="str">
        <f>'휴가대장 관리용'!M33</f>
        <v>14(오후반차)</v>
      </c>
      <c r="J38" s="135">
        <f>'휴가대장 관리용'!N33</f>
        <v>0</v>
      </c>
      <c r="K38" s="135">
        <f>'휴가대장 관리용'!O33</f>
        <v>0</v>
      </c>
      <c r="L38" s="135">
        <f>'휴가대장 관리용'!P34</f>
        <v>0</v>
      </c>
      <c r="M38" s="135">
        <f>'휴가대장 관리용'!Q33</f>
        <v>0</v>
      </c>
      <c r="N38" s="135" t="str">
        <f>'휴가대장 관리용'!R33</f>
        <v>7일(오후반차)</v>
      </c>
      <c r="O38" s="135">
        <f>'휴가대장 관리용'!S33</f>
        <v>0</v>
      </c>
      <c r="P38" s="135">
        <f>'휴가대장 관리용'!T33</f>
        <v>0</v>
      </c>
      <c r="Q38" s="135">
        <f>'휴가대장 관리용'!U33</f>
        <v>0</v>
      </c>
      <c r="R38" s="136">
        <f>'휴가대장 관리용'!V33</f>
        <v>0</v>
      </c>
    </row>
    <row r="39" spans="1:18" ht="32.1" customHeight="1" x14ac:dyDescent="0.4">
      <c r="A39" s="158">
        <v>27</v>
      </c>
      <c r="B39" s="89">
        <f>'휴가대장 관리용'!C34</f>
        <v>0</v>
      </c>
      <c r="C39" s="130" t="str">
        <f>'휴가대장 관리용'!D34</f>
        <v>-</v>
      </c>
      <c r="D39" s="131">
        <f>'휴가대장 관리용'!H34</f>
        <v>0</v>
      </c>
      <c r="E39" s="132" t="e">
        <f>'휴가대장 관리용'!I34</f>
        <v>#REF!</v>
      </c>
      <c r="F39" s="133" t="str">
        <f>'휴가대장 관리용'!J34</f>
        <v/>
      </c>
      <c r="G39" s="134">
        <f>'휴가대장 관리용'!K34</f>
        <v>0</v>
      </c>
      <c r="H39" s="135">
        <f>'휴가대장 관리용'!L34</f>
        <v>0</v>
      </c>
      <c r="I39" s="135">
        <f>'휴가대장 관리용'!M34</f>
        <v>0</v>
      </c>
      <c r="J39" s="135">
        <f>'휴가대장 관리용'!N34</f>
        <v>0</v>
      </c>
      <c r="K39" s="135">
        <f>'휴가대장 관리용'!O34</f>
        <v>0</v>
      </c>
      <c r="L39" s="135" t="e">
        <f>'휴가대장 관리용'!#REF!</f>
        <v>#REF!</v>
      </c>
      <c r="M39" s="135">
        <f>'휴가대장 관리용'!Q34</f>
        <v>0</v>
      </c>
      <c r="N39" s="135">
        <f>'휴가대장 관리용'!R34</f>
        <v>0</v>
      </c>
      <c r="O39" s="135">
        <f>'휴가대장 관리용'!S34</f>
        <v>0</v>
      </c>
      <c r="P39" s="135">
        <f>'휴가대장 관리용'!T34</f>
        <v>0</v>
      </c>
      <c r="Q39" s="135">
        <f>'휴가대장 관리용'!U34</f>
        <v>0</v>
      </c>
      <c r="R39" s="136">
        <f>'휴가대장 관리용'!V34</f>
        <v>0</v>
      </c>
    </row>
    <row r="40" spans="1:18" ht="32.1" customHeight="1" x14ac:dyDescent="0.4">
      <c r="A40" s="158">
        <v>28</v>
      </c>
      <c r="B40" s="89" t="str">
        <f>'휴가대장 관리용'!C35</f>
        <v>최창진</v>
      </c>
      <c r="C40" s="130">
        <f>'휴가대장 관리용'!D35</f>
        <v>45694</v>
      </c>
      <c r="D40" s="131">
        <f>'휴가대장 관리용'!H35</f>
        <v>10</v>
      </c>
      <c r="E40" s="132">
        <f>'휴가대장 관리용'!I35</f>
        <v>3</v>
      </c>
      <c r="F40" s="133">
        <f>'휴가대장 관리용'!J35</f>
        <v>7</v>
      </c>
      <c r="G40" s="134">
        <f>'휴가대장 관리용'!K35</f>
        <v>0</v>
      </c>
      <c r="H40" s="135">
        <f>'휴가대장 관리용'!L35</f>
        <v>0</v>
      </c>
      <c r="I40" s="135" t="str">
        <f>'휴가대장 관리용'!M35</f>
        <v>28(오후반차)</v>
      </c>
      <c r="J40" s="135" t="str">
        <f>'휴가대장 관리용'!N35</f>
        <v>4일(오후반차)</v>
      </c>
      <c r="K40" s="135">
        <f>'휴가대장 관리용'!O35</f>
        <v>0</v>
      </c>
      <c r="L40" s="135" t="str">
        <f>'휴가대장 관리용'!P35</f>
        <v>4일,
12일(오후반차)</v>
      </c>
      <c r="M40" s="135">
        <f>'휴가대장 관리용'!Q35</f>
        <v>0</v>
      </c>
      <c r="N40" s="135" t="str">
        <f>'휴가대장 관리용'!R35</f>
        <v>14일(오후반차)</v>
      </c>
      <c r="O40" s="135">
        <f>'휴가대장 관리용'!S35</f>
        <v>0</v>
      </c>
      <c r="P40" s="135">
        <f>'휴가대장 관리용'!T35</f>
        <v>0</v>
      </c>
      <c r="Q40" s="135">
        <f>'휴가대장 관리용'!U35</f>
        <v>0</v>
      </c>
      <c r="R40" s="136">
        <f>'휴가대장 관리용'!V35</f>
        <v>0</v>
      </c>
    </row>
    <row r="41" spans="1:18" ht="32.1" customHeight="1" x14ac:dyDescent="0.4">
      <c r="A41" s="158">
        <v>29</v>
      </c>
      <c r="B41" s="89">
        <f>'휴가대장 관리용'!C36</f>
        <v>0</v>
      </c>
      <c r="C41" s="130" t="str">
        <f>'휴가대장 관리용'!D36</f>
        <v>-</v>
      </c>
      <c r="D41" s="131">
        <f>'휴가대장 관리용'!H36</f>
        <v>0</v>
      </c>
      <c r="E41" s="132">
        <f>'휴가대장 관리용'!I36</f>
        <v>0</v>
      </c>
      <c r="F41" s="133">
        <f>'휴가대장 관리용'!J36</f>
        <v>0</v>
      </c>
      <c r="G41" s="134">
        <f>'휴가대장 관리용'!K36</f>
        <v>0</v>
      </c>
      <c r="H41" s="135">
        <f>'휴가대장 관리용'!L36</f>
        <v>0</v>
      </c>
      <c r="I41" s="135">
        <f>'휴가대장 관리용'!M36</f>
        <v>0</v>
      </c>
      <c r="J41" s="135">
        <f>'휴가대장 관리용'!N36</f>
        <v>0</v>
      </c>
      <c r="K41" s="135">
        <f>'휴가대장 관리용'!O36</f>
        <v>0</v>
      </c>
      <c r="L41" s="135">
        <f>'휴가대장 관리용'!P36</f>
        <v>0</v>
      </c>
      <c r="M41" s="135">
        <f>'휴가대장 관리용'!Q36</f>
        <v>0</v>
      </c>
      <c r="N41" s="135">
        <f>'휴가대장 관리용'!R36</f>
        <v>0</v>
      </c>
      <c r="O41" s="135">
        <f>'휴가대장 관리용'!S36</f>
        <v>0</v>
      </c>
      <c r="P41" s="135">
        <f>'휴가대장 관리용'!T36</f>
        <v>0</v>
      </c>
      <c r="Q41" s="135">
        <f>'휴가대장 관리용'!U36</f>
        <v>0</v>
      </c>
      <c r="R41" s="136">
        <f>'휴가대장 관리용'!V36</f>
        <v>0</v>
      </c>
    </row>
    <row r="42" spans="1:18" ht="32.1" customHeight="1" x14ac:dyDescent="0.4">
      <c r="A42" s="158">
        <v>30</v>
      </c>
      <c r="B42" s="89">
        <f>'휴가대장 관리용'!C37</f>
        <v>0</v>
      </c>
      <c r="C42" s="130" t="str">
        <f>'휴가대장 관리용'!D37</f>
        <v>-</v>
      </c>
      <c r="D42" s="131">
        <f>'휴가대장 관리용'!H37</f>
        <v>0</v>
      </c>
      <c r="E42" s="132">
        <f>'휴가대장 관리용'!I37</f>
        <v>0</v>
      </c>
      <c r="F42" s="133">
        <f>'휴가대장 관리용'!J37</f>
        <v>0</v>
      </c>
      <c r="G42" s="134">
        <f>'휴가대장 관리용'!K37</f>
        <v>0</v>
      </c>
      <c r="H42" s="135">
        <f>'휴가대장 관리용'!L37</f>
        <v>0</v>
      </c>
      <c r="I42" s="135">
        <f>'휴가대장 관리용'!M37</f>
        <v>0</v>
      </c>
      <c r="J42" s="135">
        <f>'휴가대장 관리용'!N37</f>
        <v>0</v>
      </c>
      <c r="K42" s="135">
        <f>'휴가대장 관리용'!O37</f>
        <v>0</v>
      </c>
      <c r="L42" s="135">
        <f>'휴가대장 관리용'!P37</f>
        <v>0</v>
      </c>
      <c r="M42" s="135">
        <f>'휴가대장 관리용'!Q37</f>
        <v>0</v>
      </c>
      <c r="N42" s="135">
        <f>'휴가대장 관리용'!R37</f>
        <v>0</v>
      </c>
      <c r="O42" s="135">
        <f>'휴가대장 관리용'!S37</f>
        <v>0</v>
      </c>
      <c r="P42" s="135">
        <f>'휴가대장 관리용'!T37</f>
        <v>0</v>
      </c>
      <c r="Q42" s="135">
        <f>'휴가대장 관리용'!U37</f>
        <v>0</v>
      </c>
      <c r="R42" s="136">
        <f>'휴가대장 관리용'!V37</f>
        <v>0</v>
      </c>
    </row>
    <row r="43" spans="1:18" ht="32.1" customHeight="1" x14ac:dyDescent="0.4">
      <c r="A43" s="158">
        <v>31</v>
      </c>
      <c r="B43" s="89">
        <f>'휴가대장 관리용'!C38</f>
        <v>0</v>
      </c>
      <c r="C43" s="130" t="str">
        <f>'휴가대장 관리용'!D38</f>
        <v>-</v>
      </c>
      <c r="D43" s="131">
        <f>'휴가대장 관리용'!H38</f>
        <v>0</v>
      </c>
      <c r="E43" s="132">
        <f>'휴가대장 관리용'!I38</f>
        <v>0</v>
      </c>
      <c r="F43" s="133">
        <f>'휴가대장 관리용'!J38</f>
        <v>0</v>
      </c>
      <c r="G43" s="134">
        <f>'휴가대장 관리용'!K38</f>
        <v>0</v>
      </c>
      <c r="H43" s="135">
        <f>'휴가대장 관리용'!L38</f>
        <v>0</v>
      </c>
      <c r="I43" s="135">
        <f>'휴가대장 관리용'!M38</f>
        <v>0</v>
      </c>
      <c r="J43" s="135">
        <f>'휴가대장 관리용'!N38</f>
        <v>0</v>
      </c>
      <c r="K43" s="135">
        <f>'휴가대장 관리용'!O38</f>
        <v>0</v>
      </c>
      <c r="L43" s="135">
        <f>'휴가대장 관리용'!P38</f>
        <v>0</v>
      </c>
      <c r="M43" s="135">
        <f>'휴가대장 관리용'!Q38</f>
        <v>0</v>
      </c>
      <c r="N43" s="135">
        <f>'휴가대장 관리용'!R38</f>
        <v>0</v>
      </c>
      <c r="O43" s="135">
        <f>'휴가대장 관리용'!S38</f>
        <v>0</v>
      </c>
      <c r="P43" s="135">
        <f>'휴가대장 관리용'!T38</f>
        <v>0</v>
      </c>
      <c r="Q43" s="135">
        <f>'휴가대장 관리용'!U38</f>
        <v>0</v>
      </c>
      <c r="R43" s="136">
        <f>'휴가대장 관리용'!V38</f>
        <v>0</v>
      </c>
    </row>
    <row r="44" spans="1:18" ht="32.1" customHeight="1" x14ac:dyDescent="0.4">
      <c r="A44" s="158">
        <v>32</v>
      </c>
      <c r="B44" s="89">
        <f>'휴가대장 관리용'!C39</f>
        <v>0</v>
      </c>
      <c r="C44" s="130" t="str">
        <f>'휴가대장 관리용'!D39</f>
        <v>-</v>
      </c>
      <c r="D44" s="131">
        <f>'휴가대장 관리용'!H39</f>
        <v>0</v>
      </c>
      <c r="E44" s="132">
        <f>'휴가대장 관리용'!I39</f>
        <v>0</v>
      </c>
      <c r="F44" s="133">
        <f>'휴가대장 관리용'!J39</f>
        <v>0</v>
      </c>
      <c r="G44" s="134">
        <f>'휴가대장 관리용'!K39</f>
        <v>0</v>
      </c>
      <c r="H44" s="135">
        <f>'휴가대장 관리용'!L39</f>
        <v>0</v>
      </c>
      <c r="I44" s="135">
        <f>'휴가대장 관리용'!M39</f>
        <v>0</v>
      </c>
      <c r="J44" s="135">
        <f>'휴가대장 관리용'!N39</f>
        <v>0</v>
      </c>
      <c r="K44" s="135">
        <f>'휴가대장 관리용'!O39</f>
        <v>0</v>
      </c>
      <c r="L44" s="135">
        <f>'휴가대장 관리용'!P39</f>
        <v>0</v>
      </c>
      <c r="M44" s="135">
        <f>'휴가대장 관리용'!Q39</f>
        <v>0</v>
      </c>
      <c r="N44" s="135">
        <f>'휴가대장 관리용'!R39</f>
        <v>0</v>
      </c>
      <c r="O44" s="135">
        <f>'휴가대장 관리용'!S39</f>
        <v>0</v>
      </c>
      <c r="P44" s="135">
        <f>'휴가대장 관리용'!T39</f>
        <v>0</v>
      </c>
      <c r="Q44" s="135">
        <f>'휴가대장 관리용'!U39</f>
        <v>0</v>
      </c>
      <c r="R44" s="136">
        <f>'휴가대장 관리용'!V39</f>
        <v>0</v>
      </c>
    </row>
    <row r="45" spans="1:18" ht="32.1" customHeight="1" x14ac:dyDescent="0.4">
      <c r="A45" s="158">
        <v>33</v>
      </c>
      <c r="B45" s="89">
        <f>'휴가대장 관리용'!C40</f>
        <v>0</v>
      </c>
      <c r="C45" s="130" t="str">
        <f>'휴가대장 관리용'!D40</f>
        <v>-</v>
      </c>
      <c r="D45" s="131">
        <f>'휴가대장 관리용'!H40</f>
        <v>0</v>
      </c>
      <c r="E45" s="132">
        <f>'휴가대장 관리용'!I40</f>
        <v>0</v>
      </c>
      <c r="F45" s="133">
        <f>'휴가대장 관리용'!J40</f>
        <v>0</v>
      </c>
      <c r="G45" s="134">
        <f>'휴가대장 관리용'!K40</f>
        <v>0</v>
      </c>
      <c r="H45" s="135">
        <f>'휴가대장 관리용'!L40</f>
        <v>0</v>
      </c>
      <c r="I45" s="135">
        <f>'휴가대장 관리용'!M40</f>
        <v>0</v>
      </c>
      <c r="J45" s="135">
        <f>'휴가대장 관리용'!N40</f>
        <v>0</v>
      </c>
      <c r="K45" s="135">
        <f>'휴가대장 관리용'!O40</f>
        <v>0</v>
      </c>
      <c r="L45" s="135">
        <f>'휴가대장 관리용'!P40</f>
        <v>0</v>
      </c>
      <c r="M45" s="135">
        <f>'휴가대장 관리용'!Q40</f>
        <v>0</v>
      </c>
      <c r="N45" s="135">
        <f>'휴가대장 관리용'!R40</f>
        <v>0</v>
      </c>
      <c r="O45" s="135">
        <f>'휴가대장 관리용'!S40</f>
        <v>0</v>
      </c>
      <c r="P45" s="135">
        <f>'휴가대장 관리용'!T40</f>
        <v>0</v>
      </c>
      <c r="Q45" s="135">
        <f>'휴가대장 관리용'!U40</f>
        <v>0</v>
      </c>
      <c r="R45" s="136">
        <f>'휴가대장 관리용'!V40</f>
        <v>0</v>
      </c>
    </row>
    <row r="46" spans="1:18" ht="32.1" customHeight="1" x14ac:dyDescent="0.4">
      <c r="A46" s="158">
        <v>34</v>
      </c>
      <c r="B46" s="89">
        <f>'휴가대장 관리용'!C41</f>
        <v>0</v>
      </c>
      <c r="C46" s="130" t="str">
        <f>'휴가대장 관리용'!D41</f>
        <v>-</v>
      </c>
      <c r="D46" s="131">
        <f>'휴가대장 관리용'!H41</f>
        <v>0</v>
      </c>
      <c r="E46" s="132">
        <f>'휴가대장 관리용'!I41</f>
        <v>0</v>
      </c>
      <c r="F46" s="133">
        <f>'휴가대장 관리용'!J41</f>
        <v>0</v>
      </c>
      <c r="G46" s="134">
        <f>'휴가대장 관리용'!K41</f>
        <v>0</v>
      </c>
      <c r="H46" s="135">
        <f>'휴가대장 관리용'!L41</f>
        <v>0</v>
      </c>
      <c r="I46" s="135">
        <f>'휴가대장 관리용'!M41</f>
        <v>0</v>
      </c>
      <c r="J46" s="135">
        <f>'휴가대장 관리용'!N41</f>
        <v>0</v>
      </c>
      <c r="K46" s="135">
        <f>'휴가대장 관리용'!O41</f>
        <v>0</v>
      </c>
      <c r="L46" s="135">
        <f>'휴가대장 관리용'!P41</f>
        <v>0</v>
      </c>
      <c r="M46" s="135">
        <f>'휴가대장 관리용'!Q41</f>
        <v>0</v>
      </c>
      <c r="N46" s="135">
        <f>'휴가대장 관리용'!R41</f>
        <v>0</v>
      </c>
      <c r="O46" s="135">
        <f>'휴가대장 관리용'!S41</f>
        <v>0</v>
      </c>
      <c r="P46" s="135">
        <f>'휴가대장 관리용'!T41</f>
        <v>0</v>
      </c>
      <c r="Q46" s="135">
        <f>'휴가대장 관리용'!U41</f>
        <v>0</v>
      </c>
      <c r="R46" s="136">
        <f>'휴가대장 관리용'!V41</f>
        <v>0</v>
      </c>
    </row>
    <row r="47" spans="1:18" ht="32.1" customHeight="1" x14ac:dyDescent="0.4">
      <c r="A47" s="158">
        <v>35</v>
      </c>
      <c r="B47" s="89">
        <f>'휴가대장 관리용'!C42</f>
        <v>0</v>
      </c>
      <c r="C47" s="130" t="str">
        <f>'휴가대장 관리용'!D42</f>
        <v>-</v>
      </c>
      <c r="D47" s="131">
        <f>'휴가대장 관리용'!H42</f>
        <v>0</v>
      </c>
      <c r="E47" s="132">
        <f>'휴가대장 관리용'!I42</f>
        <v>0</v>
      </c>
      <c r="F47" s="133">
        <f>'휴가대장 관리용'!J42</f>
        <v>0</v>
      </c>
      <c r="G47" s="134">
        <f>'휴가대장 관리용'!K42</f>
        <v>0</v>
      </c>
      <c r="H47" s="135">
        <f>'휴가대장 관리용'!L42</f>
        <v>0</v>
      </c>
      <c r="I47" s="135">
        <f>'휴가대장 관리용'!M42</f>
        <v>0</v>
      </c>
      <c r="J47" s="135">
        <f>'휴가대장 관리용'!N42</f>
        <v>0</v>
      </c>
      <c r="K47" s="135">
        <f>'휴가대장 관리용'!O42</f>
        <v>0</v>
      </c>
      <c r="L47" s="135">
        <f>'휴가대장 관리용'!P42</f>
        <v>0</v>
      </c>
      <c r="M47" s="135">
        <f>'휴가대장 관리용'!Q42</f>
        <v>0</v>
      </c>
      <c r="N47" s="135">
        <f>'휴가대장 관리용'!R42</f>
        <v>0</v>
      </c>
      <c r="O47" s="135">
        <f>'휴가대장 관리용'!S42</f>
        <v>0</v>
      </c>
      <c r="P47" s="135">
        <f>'휴가대장 관리용'!T42</f>
        <v>0</v>
      </c>
      <c r="Q47" s="135">
        <f>'휴가대장 관리용'!U42</f>
        <v>0</v>
      </c>
      <c r="R47" s="136">
        <f>'휴가대장 관리용'!V42</f>
        <v>0</v>
      </c>
    </row>
    <row r="48" spans="1:18" ht="32.1" customHeight="1" x14ac:dyDescent="0.4">
      <c r="A48" s="158">
        <v>36</v>
      </c>
      <c r="B48" s="89">
        <f>'휴가대장 관리용'!C43</f>
        <v>0</v>
      </c>
      <c r="C48" s="130" t="str">
        <f>'휴가대장 관리용'!D43</f>
        <v>-</v>
      </c>
      <c r="D48" s="131">
        <f>'휴가대장 관리용'!H43</f>
        <v>0</v>
      </c>
      <c r="E48" s="132">
        <f>'휴가대장 관리용'!I43</f>
        <v>0</v>
      </c>
      <c r="F48" s="133">
        <f>'휴가대장 관리용'!J43</f>
        <v>0</v>
      </c>
      <c r="G48" s="134">
        <f>'휴가대장 관리용'!K43</f>
        <v>0</v>
      </c>
      <c r="H48" s="135">
        <f>'휴가대장 관리용'!L43</f>
        <v>0</v>
      </c>
      <c r="I48" s="135">
        <f>'휴가대장 관리용'!M43</f>
        <v>0</v>
      </c>
      <c r="J48" s="135">
        <f>'휴가대장 관리용'!N43</f>
        <v>0</v>
      </c>
      <c r="K48" s="135">
        <f>'휴가대장 관리용'!O43</f>
        <v>0</v>
      </c>
      <c r="L48" s="135">
        <f>'휴가대장 관리용'!P43</f>
        <v>0</v>
      </c>
      <c r="M48" s="135">
        <f>'휴가대장 관리용'!Q43</f>
        <v>0</v>
      </c>
      <c r="N48" s="135">
        <f>'휴가대장 관리용'!R43</f>
        <v>0</v>
      </c>
      <c r="O48" s="135">
        <f>'휴가대장 관리용'!S43</f>
        <v>0</v>
      </c>
      <c r="P48" s="135">
        <f>'휴가대장 관리용'!T43</f>
        <v>0</v>
      </c>
      <c r="Q48" s="135">
        <f>'휴가대장 관리용'!U43</f>
        <v>0</v>
      </c>
      <c r="R48" s="136">
        <f>'휴가대장 관리용'!V43</f>
        <v>0</v>
      </c>
    </row>
    <row r="49" spans="1:18" ht="32.1" customHeight="1" x14ac:dyDescent="0.4">
      <c r="A49" s="158">
        <v>37</v>
      </c>
      <c r="B49" s="89">
        <f>'휴가대장 관리용'!C44</f>
        <v>0</v>
      </c>
      <c r="C49" s="130" t="str">
        <f>'휴가대장 관리용'!D44</f>
        <v>-</v>
      </c>
      <c r="D49" s="131">
        <f>'휴가대장 관리용'!H44</f>
        <v>0</v>
      </c>
      <c r="E49" s="132">
        <f>'휴가대장 관리용'!I44</f>
        <v>0</v>
      </c>
      <c r="F49" s="133">
        <f>'휴가대장 관리용'!J44</f>
        <v>0</v>
      </c>
      <c r="G49" s="134">
        <f>'휴가대장 관리용'!K44</f>
        <v>0</v>
      </c>
      <c r="H49" s="135">
        <f>'휴가대장 관리용'!L44</f>
        <v>0</v>
      </c>
      <c r="I49" s="135">
        <f>'휴가대장 관리용'!M44</f>
        <v>0</v>
      </c>
      <c r="J49" s="135">
        <f>'휴가대장 관리용'!N44</f>
        <v>0</v>
      </c>
      <c r="K49" s="135">
        <f>'휴가대장 관리용'!O44</f>
        <v>0</v>
      </c>
      <c r="L49" s="135">
        <f>'휴가대장 관리용'!P44</f>
        <v>0</v>
      </c>
      <c r="M49" s="135">
        <f>'휴가대장 관리용'!Q44</f>
        <v>0</v>
      </c>
      <c r="N49" s="135">
        <f>'휴가대장 관리용'!R44</f>
        <v>0</v>
      </c>
      <c r="O49" s="135">
        <f>'휴가대장 관리용'!S44</f>
        <v>0</v>
      </c>
      <c r="P49" s="135">
        <f>'휴가대장 관리용'!T44</f>
        <v>0</v>
      </c>
      <c r="Q49" s="135">
        <f>'휴가대장 관리용'!U44</f>
        <v>0</v>
      </c>
      <c r="R49" s="136">
        <f>'휴가대장 관리용'!V44</f>
        <v>0</v>
      </c>
    </row>
    <row r="50" spans="1:18" ht="32.1" customHeight="1" x14ac:dyDescent="0.4">
      <c r="A50" s="158">
        <v>38</v>
      </c>
      <c r="B50" s="89">
        <f>'휴가대장 관리용'!C45</f>
        <v>0</v>
      </c>
      <c r="C50" s="130" t="str">
        <f>'휴가대장 관리용'!D45</f>
        <v>-</v>
      </c>
      <c r="D50" s="131">
        <f>'휴가대장 관리용'!H45</f>
        <v>0</v>
      </c>
      <c r="E50" s="132">
        <f>'휴가대장 관리용'!I45</f>
        <v>0</v>
      </c>
      <c r="F50" s="133">
        <f>'휴가대장 관리용'!J45</f>
        <v>0</v>
      </c>
      <c r="G50" s="134">
        <f>'휴가대장 관리용'!K45</f>
        <v>0</v>
      </c>
      <c r="H50" s="135">
        <f>'휴가대장 관리용'!L45</f>
        <v>0</v>
      </c>
      <c r="I50" s="135">
        <f>'휴가대장 관리용'!M45</f>
        <v>0</v>
      </c>
      <c r="J50" s="135">
        <f>'휴가대장 관리용'!N45</f>
        <v>0</v>
      </c>
      <c r="K50" s="135">
        <f>'휴가대장 관리용'!O45</f>
        <v>0</v>
      </c>
      <c r="L50" s="135">
        <f>'휴가대장 관리용'!P45</f>
        <v>0</v>
      </c>
      <c r="M50" s="135">
        <f>'휴가대장 관리용'!Q45</f>
        <v>0</v>
      </c>
      <c r="N50" s="135">
        <f>'휴가대장 관리용'!R45</f>
        <v>0</v>
      </c>
      <c r="O50" s="135">
        <f>'휴가대장 관리용'!S45</f>
        <v>0</v>
      </c>
      <c r="P50" s="135">
        <f>'휴가대장 관리용'!T45</f>
        <v>0</v>
      </c>
      <c r="Q50" s="135">
        <f>'휴가대장 관리용'!U45</f>
        <v>0</v>
      </c>
      <c r="R50" s="136">
        <f>'휴가대장 관리용'!V45</f>
        <v>0</v>
      </c>
    </row>
    <row r="51" spans="1:18" ht="32.1" customHeight="1" x14ac:dyDescent="0.4">
      <c r="A51" s="158">
        <v>39</v>
      </c>
      <c r="B51" s="89">
        <f>'휴가대장 관리용'!C46</f>
        <v>0</v>
      </c>
      <c r="C51" s="130" t="str">
        <f>'휴가대장 관리용'!D46</f>
        <v>-</v>
      </c>
      <c r="D51" s="131">
        <f>'휴가대장 관리용'!H46</f>
        <v>0</v>
      </c>
      <c r="E51" s="132">
        <f>'휴가대장 관리용'!I46</f>
        <v>0</v>
      </c>
      <c r="F51" s="133">
        <f>'휴가대장 관리용'!J46</f>
        <v>0</v>
      </c>
      <c r="G51" s="134">
        <f>'휴가대장 관리용'!K46</f>
        <v>0</v>
      </c>
      <c r="H51" s="135">
        <f>'휴가대장 관리용'!L46</f>
        <v>0</v>
      </c>
      <c r="I51" s="135">
        <f>'휴가대장 관리용'!M46</f>
        <v>0</v>
      </c>
      <c r="J51" s="135">
        <f>'휴가대장 관리용'!N46</f>
        <v>0</v>
      </c>
      <c r="K51" s="135">
        <f>'휴가대장 관리용'!O46</f>
        <v>0</v>
      </c>
      <c r="L51" s="135">
        <f>'휴가대장 관리용'!P46</f>
        <v>0</v>
      </c>
      <c r="M51" s="135">
        <f>'휴가대장 관리용'!Q46</f>
        <v>0</v>
      </c>
      <c r="N51" s="135">
        <f>'휴가대장 관리용'!R46</f>
        <v>0</v>
      </c>
      <c r="O51" s="135">
        <f>'휴가대장 관리용'!S46</f>
        <v>0</v>
      </c>
      <c r="P51" s="135">
        <f>'휴가대장 관리용'!T46</f>
        <v>0</v>
      </c>
      <c r="Q51" s="135">
        <f>'휴가대장 관리용'!U46</f>
        <v>0</v>
      </c>
      <c r="R51" s="136">
        <f>'휴가대장 관리용'!V46</f>
        <v>0</v>
      </c>
    </row>
    <row r="52" spans="1:18" ht="32.1" customHeight="1" x14ac:dyDescent="0.4">
      <c r="A52" s="158">
        <v>40</v>
      </c>
      <c r="B52" s="89">
        <f>'휴가대장 관리용'!C47</f>
        <v>0</v>
      </c>
      <c r="C52" s="130" t="str">
        <f>'휴가대장 관리용'!D47</f>
        <v>-</v>
      </c>
      <c r="D52" s="131">
        <f>'휴가대장 관리용'!H47</f>
        <v>0</v>
      </c>
      <c r="E52" s="132">
        <f>'휴가대장 관리용'!I47</f>
        <v>0</v>
      </c>
      <c r="F52" s="133">
        <f>'휴가대장 관리용'!J47</f>
        <v>0</v>
      </c>
      <c r="G52" s="134">
        <f>'휴가대장 관리용'!K47</f>
        <v>0</v>
      </c>
      <c r="H52" s="135">
        <f>'휴가대장 관리용'!L47</f>
        <v>0</v>
      </c>
      <c r="I52" s="135">
        <f>'휴가대장 관리용'!M47</f>
        <v>0</v>
      </c>
      <c r="J52" s="135">
        <f>'휴가대장 관리용'!N47</f>
        <v>0</v>
      </c>
      <c r="K52" s="135">
        <f>'휴가대장 관리용'!O47</f>
        <v>0</v>
      </c>
      <c r="L52" s="135">
        <f>'휴가대장 관리용'!P47</f>
        <v>0</v>
      </c>
      <c r="M52" s="135">
        <f>'휴가대장 관리용'!Q47</f>
        <v>0</v>
      </c>
      <c r="N52" s="135">
        <f>'휴가대장 관리용'!R47</f>
        <v>0</v>
      </c>
      <c r="O52" s="135">
        <f>'휴가대장 관리용'!S47</f>
        <v>0</v>
      </c>
      <c r="P52" s="135">
        <f>'휴가대장 관리용'!T47</f>
        <v>0</v>
      </c>
      <c r="Q52" s="135">
        <f>'휴가대장 관리용'!U47</f>
        <v>0</v>
      </c>
      <c r="R52" s="136">
        <f>'휴가대장 관리용'!V47</f>
        <v>0</v>
      </c>
    </row>
    <row r="53" spans="1:18" ht="32.1" customHeight="1" x14ac:dyDescent="0.4">
      <c r="A53" s="158">
        <v>41</v>
      </c>
      <c r="B53" s="89">
        <f>'휴가대장 관리용'!C48</f>
        <v>0</v>
      </c>
      <c r="C53" s="130" t="str">
        <f>'휴가대장 관리용'!D48</f>
        <v>-</v>
      </c>
      <c r="D53" s="137">
        <f>'휴가대장 관리용'!H48</f>
        <v>0</v>
      </c>
      <c r="E53" s="138">
        <f>'휴가대장 관리용'!I48</f>
        <v>0</v>
      </c>
      <c r="F53" s="139">
        <f>'휴가대장 관리용'!J48</f>
        <v>0</v>
      </c>
      <c r="G53" s="140">
        <f>'휴가대장 관리용'!K48</f>
        <v>0</v>
      </c>
      <c r="H53" s="141">
        <f>'휴가대장 관리용'!L48</f>
        <v>0</v>
      </c>
      <c r="I53" s="141">
        <f>'휴가대장 관리용'!M48</f>
        <v>0</v>
      </c>
      <c r="J53" s="141">
        <f>'휴가대장 관리용'!N48</f>
        <v>0</v>
      </c>
      <c r="K53" s="141">
        <f>'휴가대장 관리용'!O48</f>
        <v>0</v>
      </c>
      <c r="L53" s="141">
        <f>'휴가대장 관리용'!P48</f>
        <v>0</v>
      </c>
      <c r="M53" s="141">
        <f>'휴가대장 관리용'!Q48</f>
        <v>0</v>
      </c>
      <c r="N53" s="141">
        <f>'휴가대장 관리용'!R48</f>
        <v>0</v>
      </c>
      <c r="O53" s="141">
        <f>'휴가대장 관리용'!S48</f>
        <v>0</v>
      </c>
      <c r="P53" s="141">
        <f>'휴가대장 관리용'!T48</f>
        <v>0</v>
      </c>
      <c r="Q53" s="141">
        <f>'휴가대장 관리용'!U48</f>
        <v>0</v>
      </c>
      <c r="R53" s="142">
        <f>'휴가대장 관리용'!V48</f>
        <v>0</v>
      </c>
    </row>
    <row r="54" spans="1:18" ht="32.1" customHeight="1" x14ac:dyDescent="0.4">
      <c r="A54" s="158">
        <v>42</v>
      </c>
      <c r="B54" s="89">
        <f>'휴가대장 관리용'!C49</f>
        <v>0</v>
      </c>
      <c r="C54" s="130" t="str">
        <f>'휴가대장 관리용'!D49</f>
        <v>-</v>
      </c>
      <c r="D54" s="137">
        <f>'휴가대장 관리용'!H49</f>
        <v>0</v>
      </c>
      <c r="E54" s="138">
        <f>'휴가대장 관리용'!I49</f>
        <v>0</v>
      </c>
      <c r="F54" s="139">
        <f>'휴가대장 관리용'!J49</f>
        <v>0</v>
      </c>
      <c r="G54" s="140">
        <f>'휴가대장 관리용'!K49</f>
        <v>0</v>
      </c>
      <c r="H54" s="141">
        <f>'휴가대장 관리용'!L49</f>
        <v>0</v>
      </c>
      <c r="I54" s="141">
        <f>'휴가대장 관리용'!M49</f>
        <v>0</v>
      </c>
      <c r="J54" s="141">
        <f>'휴가대장 관리용'!N49</f>
        <v>0</v>
      </c>
      <c r="K54" s="141">
        <f>'휴가대장 관리용'!O49</f>
        <v>0</v>
      </c>
      <c r="L54" s="141">
        <f>'휴가대장 관리용'!P49</f>
        <v>0</v>
      </c>
      <c r="M54" s="141">
        <f>'휴가대장 관리용'!Q49</f>
        <v>0</v>
      </c>
      <c r="N54" s="141">
        <f>'휴가대장 관리용'!R49</f>
        <v>0</v>
      </c>
      <c r="O54" s="141">
        <f>'휴가대장 관리용'!S49</f>
        <v>0</v>
      </c>
      <c r="P54" s="141">
        <f>'휴가대장 관리용'!T49</f>
        <v>0</v>
      </c>
      <c r="Q54" s="141">
        <f>'휴가대장 관리용'!U49</f>
        <v>0</v>
      </c>
      <c r="R54" s="142">
        <f>'휴가대장 관리용'!V49</f>
        <v>0</v>
      </c>
    </row>
    <row r="55" spans="1:18" ht="32.1" customHeight="1" x14ac:dyDescent="0.4">
      <c r="A55" s="158">
        <v>43</v>
      </c>
      <c r="B55" s="89">
        <f>'휴가대장 관리용'!C50</f>
        <v>0</v>
      </c>
      <c r="C55" s="130" t="str">
        <f>'휴가대장 관리용'!D50</f>
        <v>-</v>
      </c>
      <c r="D55" s="137">
        <f>'휴가대장 관리용'!H50</f>
        <v>0</v>
      </c>
      <c r="E55" s="138">
        <f>'휴가대장 관리용'!I50</f>
        <v>0</v>
      </c>
      <c r="F55" s="139">
        <f>'휴가대장 관리용'!J50</f>
        <v>0</v>
      </c>
      <c r="G55" s="140">
        <f>'휴가대장 관리용'!K50</f>
        <v>0</v>
      </c>
      <c r="H55" s="141">
        <f>'휴가대장 관리용'!L50</f>
        <v>0</v>
      </c>
      <c r="I55" s="141">
        <f>'휴가대장 관리용'!M50</f>
        <v>0</v>
      </c>
      <c r="J55" s="141">
        <f>'휴가대장 관리용'!N50</f>
        <v>0</v>
      </c>
      <c r="K55" s="141">
        <f>'휴가대장 관리용'!O50</f>
        <v>0</v>
      </c>
      <c r="L55" s="141">
        <f>'휴가대장 관리용'!P50</f>
        <v>0</v>
      </c>
      <c r="M55" s="141">
        <f>'휴가대장 관리용'!Q50</f>
        <v>0</v>
      </c>
      <c r="N55" s="141">
        <f>'휴가대장 관리용'!R50</f>
        <v>0</v>
      </c>
      <c r="O55" s="141">
        <f>'휴가대장 관리용'!S50</f>
        <v>0</v>
      </c>
      <c r="P55" s="141">
        <f>'휴가대장 관리용'!T50</f>
        <v>0</v>
      </c>
      <c r="Q55" s="141">
        <f>'휴가대장 관리용'!U50</f>
        <v>0</v>
      </c>
      <c r="R55" s="142">
        <f>'휴가대장 관리용'!V50</f>
        <v>0</v>
      </c>
    </row>
    <row r="56" spans="1:18" ht="32.1" customHeight="1" x14ac:dyDescent="0.4">
      <c r="A56" s="158">
        <v>44</v>
      </c>
      <c r="B56" s="89">
        <f>'휴가대장 관리용'!C51</f>
        <v>0</v>
      </c>
      <c r="C56" s="130" t="str">
        <f>'휴가대장 관리용'!D51</f>
        <v>-</v>
      </c>
      <c r="D56" s="137">
        <f>'휴가대장 관리용'!H51</f>
        <v>0</v>
      </c>
      <c r="E56" s="138">
        <f>'휴가대장 관리용'!I51</f>
        <v>0</v>
      </c>
      <c r="F56" s="139">
        <f>'휴가대장 관리용'!J51</f>
        <v>0</v>
      </c>
      <c r="G56" s="140">
        <f>'휴가대장 관리용'!K51</f>
        <v>0</v>
      </c>
      <c r="H56" s="141">
        <f>'휴가대장 관리용'!L51</f>
        <v>0</v>
      </c>
      <c r="I56" s="141">
        <f>'휴가대장 관리용'!M51</f>
        <v>0</v>
      </c>
      <c r="J56" s="141">
        <f>'휴가대장 관리용'!N51</f>
        <v>0</v>
      </c>
      <c r="K56" s="141">
        <f>'휴가대장 관리용'!O51</f>
        <v>0</v>
      </c>
      <c r="L56" s="141">
        <f>'휴가대장 관리용'!P51</f>
        <v>0</v>
      </c>
      <c r="M56" s="141">
        <f>'휴가대장 관리용'!Q51</f>
        <v>0</v>
      </c>
      <c r="N56" s="141">
        <f>'휴가대장 관리용'!R51</f>
        <v>0</v>
      </c>
      <c r="O56" s="141">
        <f>'휴가대장 관리용'!S51</f>
        <v>0</v>
      </c>
      <c r="P56" s="141">
        <f>'휴가대장 관리용'!T51</f>
        <v>0</v>
      </c>
      <c r="Q56" s="141">
        <f>'휴가대장 관리용'!U51</f>
        <v>0</v>
      </c>
      <c r="R56" s="142">
        <f>'휴가대장 관리용'!V51</f>
        <v>0</v>
      </c>
    </row>
    <row r="57" spans="1:18" ht="32.1" customHeight="1" x14ac:dyDescent="0.4">
      <c r="A57" s="158">
        <v>45</v>
      </c>
      <c r="B57" s="89">
        <f>'휴가대장 관리용'!C52</f>
        <v>0</v>
      </c>
      <c r="C57" s="130" t="str">
        <f>'휴가대장 관리용'!D52</f>
        <v>-</v>
      </c>
      <c r="D57" s="137">
        <f>'휴가대장 관리용'!H52</f>
        <v>0</v>
      </c>
      <c r="E57" s="138">
        <f>'휴가대장 관리용'!I52</f>
        <v>0</v>
      </c>
      <c r="F57" s="139">
        <f>'휴가대장 관리용'!J52</f>
        <v>0</v>
      </c>
      <c r="G57" s="140">
        <f>'휴가대장 관리용'!K52</f>
        <v>0</v>
      </c>
      <c r="H57" s="141">
        <f>'휴가대장 관리용'!L52</f>
        <v>0</v>
      </c>
      <c r="I57" s="141">
        <f>'휴가대장 관리용'!M52</f>
        <v>0</v>
      </c>
      <c r="J57" s="141">
        <f>'휴가대장 관리용'!N52</f>
        <v>0</v>
      </c>
      <c r="K57" s="141">
        <f>'휴가대장 관리용'!O52</f>
        <v>0</v>
      </c>
      <c r="L57" s="141">
        <f>'휴가대장 관리용'!P52</f>
        <v>0</v>
      </c>
      <c r="M57" s="141">
        <f>'휴가대장 관리용'!Q52</f>
        <v>0</v>
      </c>
      <c r="N57" s="141">
        <f>'휴가대장 관리용'!R52</f>
        <v>0</v>
      </c>
      <c r="O57" s="141">
        <f>'휴가대장 관리용'!S52</f>
        <v>0</v>
      </c>
      <c r="P57" s="141">
        <f>'휴가대장 관리용'!T52</f>
        <v>0</v>
      </c>
      <c r="Q57" s="141">
        <f>'휴가대장 관리용'!U52</f>
        <v>0</v>
      </c>
      <c r="R57" s="142">
        <f>'휴가대장 관리용'!V52</f>
        <v>0</v>
      </c>
    </row>
    <row r="58" spans="1:18" ht="32.1" customHeight="1" x14ac:dyDescent="0.4">
      <c r="A58" s="158">
        <v>46</v>
      </c>
      <c r="B58" s="89">
        <f>'휴가대장 관리용'!C53</f>
        <v>0</v>
      </c>
      <c r="C58" s="130" t="str">
        <f>'휴가대장 관리용'!D53</f>
        <v>-</v>
      </c>
      <c r="D58" s="137">
        <f>'휴가대장 관리용'!H53</f>
        <v>0</v>
      </c>
      <c r="E58" s="138">
        <f>'휴가대장 관리용'!I53</f>
        <v>0</v>
      </c>
      <c r="F58" s="139">
        <f>'휴가대장 관리용'!J53</f>
        <v>0</v>
      </c>
      <c r="G58" s="140">
        <f>'휴가대장 관리용'!K53</f>
        <v>0</v>
      </c>
      <c r="H58" s="141">
        <f>'휴가대장 관리용'!L53</f>
        <v>0</v>
      </c>
      <c r="I58" s="141">
        <f>'휴가대장 관리용'!M53</f>
        <v>0</v>
      </c>
      <c r="J58" s="141">
        <f>'휴가대장 관리용'!N53</f>
        <v>0</v>
      </c>
      <c r="K58" s="141">
        <f>'휴가대장 관리용'!O53</f>
        <v>0</v>
      </c>
      <c r="L58" s="141">
        <f>'휴가대장 관리용'!P53</f>
        <v>0</v>
      </c>
      <c r="M58" s="141">
        <f>'휴가대장 관리용'!Q53</f>
        <v>0</v>
      </c>
      <c r="N58" s="141">
        <f>'휴가대장 관리용'!R53</f>
        <v>0</v>
      </c>
      <c r="O58" s="141">
        <f>'휴가대장 관리용'!S53</f>
        <v>0</v>
      </c>
      <c r="P58" s="141">
        <f>'휴가대장 관리용'!T53</f>
        <v>0</v>
      </c>
      <c r="Q58" s="141">
        <f>'휴가대장 관리용'!U53</f>
        <v>0</v>
      </c>
      <c r="R58" s="142">
        <f>'휴가대장 관리용'!V53</f>
        <v>0</v>
      </c>
    </row>
    <row r="59" spans="1:18" ht="32.1" customHeight="1" x14ac:dyDescent="0.4">
      <c r="A59" s="158">
        <v>47</v>
      </c>
      <c r="B59" s="89">
        <f>'휴가대장 관리용'!C54</f>
        <v>0</v>
      </c>
      <c r="C59" s="130" t="str">
        <f>'휴가대장 관리용'!D54</f>
        <v>-</v>
      </c>
      <c r="D59" s="137">
        <f>'휴가대장 관리용'!H54</f>
        <v>0</v>
      </c>
      <c r="E59" s="138">
        <f>'휴가대장 관리용'!I54</f>
        <v>0</v>
      </c>
      <c r="F59" s="139">
        <f>'휴가대장 관리용'!J54</f>
        <v>0</v>
      </c>
      <c r="G59" s="140">
        <f>'휴가대장 관리용'!K54</f>
        <v>0</v>
      </c>
      <c r="H59" s="141">
        <f>'휴가대장 관리용'!L54</f>
        <v>0</v>
      </c>
      <c r="I59" s="141">
        <f>'휴가대장 관리용'!M54</f>
        <v>0</v>
      </c>
      <c r="J59" s="141">
        <f>'휴가대장 관리용'!N54</f>
        <v>0</v>
      </c>
      <c r="K59" s="141">
        <f>'휴가대장 관리용'!O54</f>
        <v>0</v>
      </c>
      <c r="L59" s="141">
        <f>'휴가대장 관리용'!P54</f>
        <v>0</v>
      </c>
      <c r="M59" s="141">
        <f>'휴가대장 관리용'!Q54</f>
        <v>0</v>
      </c>
      <c r="N59" s="141">
        <f>'휴가대장 관리용'!R54</f>
        <v>0</v>
      </c>
      <c r="O59" s="141">
        <f>'휴가대장 관리용'!S54</f>
        <v>0</v>
      </c>
      <c r="P59" s="141">
        <f>'휴가대장 관리용'!T54</f>
        <v>0</v>
      </c>
      <c r="Q59" s="141">
        <f>'휴가대장 관리용'!U54</f>
        <v>0</v>
      </c>
      <c r="R59" s="142">
        <f>'휴가대장 관리용'!V54</f>
        <v>0</v>
      </c>
    </row>
    <row r="60" spans="1:18" ht="32.1" customHeight="1" x14ac:dyDescent="0.4">
      <c r="A60" s="158">
        <v>48</v>
      </c>
      <c r="B60" s="89">
        <f>'휴가대장 관리용'!C55</f>
        <v>0</v>
      </c>
      <c r="C60" s="130" t="str">
        <f>'휴가대장 관리용'!D55</f>
        <v>-</v>
      </c>
      <c r="D60" s="137">
        <f>'휴가대장 관리용'!H55</f>
        <v>0</v>
      </c>
      <c r="E60" s="138">
        <f>'휴가대장 관리용'!I55</f>
        <v>0</v>
      </c>
      <c r="F60" s="139">
        <f>'휴가대장 관리용'!J55</f>
        <v>0</v>
      </c>
      <c r="G60" s="140">
        <f>'휴가대장 관리용'!K55</f>
        <v>0</v>
      </c>
      <c r="H60" s="141">
        <f>'휴가대장 관리용'!L55</f>
        <v>0</v>
      </c>
      <c r="I60" s="141">
        <f>'휴가대장 관리용'!M55</f>
        <v>0</v>
      </c>
      <c r="J60" s="141">
        <f>'휴가대장 관리용'!N55</f>
        <v>0</v>
      </c>
      <c r="K60" s="141">
        <f>'휴가대장 관리용'!O55</f>
        <v>0</v>
      </c>
      <c r="L60" s="141">
        <f>'휴가대장 관리용'!P55</f>
        <v>0</v>
      </c>
      <c r="M60" s="141">
        <f>'휴가대장 관리용'!Q55</f>
        <v>0</v>
      </c>
      <c r="N60" s="141">
        <f>'휴가대장 관리용'!R55</f>
        <v>0</v>
      </c>
      <c r="O60" s="141">
        <f>'휴가대장 관리용'!S55</f>
        <v>0</v>
      </c>
      <c r="P60" s="141">
        <f>'휴가대장 관리용'!T55</f>
        <v>0</v>
      </c>
      <c r="Q60" s="141">
        <f>'휴가대장 관리용'!U55</f>
        <v>0</v>
      </c>
      <c r="R60" s="142">
        <f>'휴가대장 관리용'!V55</f>
        <v>0</v>
      </c>
    </row>
    <row r="61" spans="1:18" ht="32.1" customHeight="1" x14ac:dyDescent="0.4">
      <c r="A61" s="158">
        <v>49</v>
      </c>
      <c r="B61" s="89">
        <f>'휴가대장 관리용'!C56</f>
        <v>0</v>
      </c>
      <c r="C61" s="130" t="str">
        <f>'휴가대장 관리용'!D56</f>
        <v>-</v>
      </c>
      <c r="D61" s="137">
        <f>'휴가대장 관리용'!H56</f>
        <v>0</v>
      </c>
      <c r="E61" s="138">
        <f>'휴가대장 관리용'!I56</f>
        <v>0</v>
      </c>
      <c r="F61" s="139">
        <f>'휴가대장 관리용'!J56</f>
        <v>0</v>
      </c>
      <c r="G61" s="140">
        <f>'휴가대장 관리용'!K56</f>
        <v>0</v>
      </c>
      <c r="H61" s="141">
        <f>'휴가대장 관리용'!L56</f>
        <v>0</v>
      </c>
      <c r="I61" s="141">
        <f>'휴가대장 관리용'!M56</f>
        <v>0</v>
      </c>
      <c r="J61" s="141">
        <f>'휴가대장 관리용'!N56</f>
        <v>0</v>
      </c>
      <c r="K61" s="141">
        <f>'휴가대장 관리용'!O56</f>
        <v>0</v>
      </c>
      <c r="L61" s="141">
        <f>'휴가대장 관리용'!P56</f>
        <v>0</v>
      </c>
      <c r="M61" s="141">
        <f>'휴가대장 관리용'!Q56</f>
        <v>0</v>
      </c>
      <c r="N61" s="141">
        <f>'휴가대장 관리용'!R56</f>
        <v>0</v>
      </c>
      <c r="O61" s="141">
        <f>'휴가대장 관리용'!S56</f>
        <v>0</v>
      </c>
      <c r="P61" s="141">
        <f>'휴가대장 관리용'!T56</f>
        <v>0</v>
      </c>
      <c r="Q61" s="141">
        <f>'휴가대장 관리용'!U56</f>
        <v>0</v>
      </c>
      <c r="R61" s="142">
        <f>'휴가대장 관리용'!V56</f>
        <v>0</v>
      </c>
    </row>
    <row r="62" spans="1:18" ht="32.1" customHeight="1" x14ac:dyDescent="0.4">
      <c r="A62" s="158">
        <v>50</v>
      </c>
      <c r="B62" s="89">
        <f>'휴가대장 관리용'!C57</f>
        <v>0</v>
      </c>
      <c r="C62" s="130" t="str">
        <f>'휴가대장 관리용'!D57</f>
        <v>-</v>
      </c>
      <c r="D62" s="137">
        <f>'휴가대장 관리용'!H57</f>
        <v>0</v>
      </c>
      <c r="E62" s="138">
        <f>'휴가대장 관리용'!I57</f>
        <v>0</v>
      </c>
      <c r="F62" s="139">
        <f>'휴가대장 관리용'!J57</f>
        <v>0</v>
      </c>
      <c r="G62" s="140">
        <f>'휴가대장 관리용'!K57</f>
        <v>0</v>
      </c>
      <c r="H62" s="141">
        <f>'휴가대장 관리용'!L57</f>
        <v>0</v>
      </c>
      <c r="I62" s="141">
        <f>'휴가대장 관리용'!M57</f>
        <v>0</v>
      </c>
      <c r="J62" s="141">
        <f>'휴가대장 관리용'!N57</f>
        <v>0</v>
      </c>
      <c r="K62" s="141">
        <f>'휴가대장 관리용'!O57</f>
        <v>0</v>
      </c>
      <c r="L62" s="141">
        <f>'휴가대장 관리용'!P57</f>
        <v>0</v>
      </c>
      <c r="M62" s="141">
        <f>'휴가대장 관리용'!Q57</f>
        <v>0</v>
      </c>
      <c r="N62" s="141">
        <f>'휴가대장 관리용'!R57</f>
        <v>0</v>
      </c>
      <c r="O62" s="141">
        <f>'휴가대장 관리용'!S57</f>
        <v>0</v>
      </c>
      <c r="P62" s="141">
        <f>'휴가대장 관리용'!T57</f>
        <v>0</v>
      </c>
      <c r="Q62" s="141">
        <f>'휴가대장 관리용'!U57</f>
        <v>0</v>
      </c>
      <c r="R62" s="142">
        <f>'휴가대장 관리용'!V57</f>
        <v>0</v>
      </c>
    </row>
    <row r="63" spans="1:18" ht="32.1" customHeight="1" x14ac:dyDescent="0.4">
      <c r="A63" s="158">
        <v>51</v>
      </c>
      <c r="B63" s="89">
        <f>'휴가대장 관리용'!C58</f>
        <v>0</v>
      </c>
      <c r="C63" s="130" t="str">
        <f>'휴가대장 관리용'!D58</f>
        <v>-</v>
      </c>
      <c r="D63" s="137">
        <f>'휴가대장 관리용'!H58</f>
        <v>0</v>
      </c>
      <c r="E63" s="138">
        <f>'휴가대장 관리용'!I58</f>
        <v>0</v>
      </c>
      <c r="F63" s="139">
        <f>'휴가대장 관리용'!J58</f>
        <v>0</v>
      </c>
      <c r="G63" s="140">
        <f>'휴가대장 관리용'!K58</f>
        <v>0</v>
      </c>
      <c r="H63" s="141">
        <f>'휴가대장 관리용'!L58</f>
        <v>0</v>
      </c>
      <c r="I63" s="141">
        <f>'휴가대장 관리용'!M58</f>
        <v>0</v>
      </c>
      <c r="J63" s="141">
        <f>'휴가대장 관리용'!N58</f>
        <v>0</v>
      </c>
      <c r="K63" s="141">
        <f>'휴가대장 관리용'!O58</f>
        <v>0</v>
      </c>
      <c r="L63" s="141">
        <f>'휴가대장 관리용'!P58</f>
        <v>0</v>
      </c>
      <c r="M63" s="141">
        <f>'휴가대장 관리용'!Q58</f>
        <v>0</v>
      </c>
      <c r="N63" s="141">
        <f>'휴가대장 관리용'!R58</f>
        <v>0</v>
      </c>
      <c r="O63" s="141">
        <f>'휴가대장 관리용'!S58</f>
        <v>0</v>
      </c>
      <c r="P63" s="141">
        <f>'휴가대장 관리용'!T58</f>
        <v>0</v>
      </c>
      <c r="Q63" s="141">
        <f>'휴가대장 관리용'!U58</f>
        <v>0</v>
      </c>
      <c r="R63" s="142">
        <f>'휴가대장 관리용'!V58</f>
        <v>0</v>
      </c>
    </row>
    <row r="64" spans="1:18" ht="32.1" customHeight="1" x14ac:dyDescent="0.4">
      <c r="A64" s="158">
        <v>52</v>
      </c>
      <c r="B64" s="89">
        <f>'휴가대장 관리용'!C59</f>
        <v>0</v>
      </c>
      <c r="C64" s="130" t="str">
        <f>'휴가대장 관리용'!D59</f>
        <v>-</v>
      </c>
      <c r="D64" s="137">
        <f>'휴가대장 관리용'!H59</f>
        <v>0</v>
      </c>
      <c r="E64" s="138">
        <f>'휴가대장 관리용'!I59</f>
        <v>0</v>
      </c>
      <c r="F64" s="139">
        <f>'휴가대장 관리용'!J59</f>
        <v>0</v>
      </c>
      <c r="G64" s="140">
        <f>'휴가대장 관리용'!K59</f>
        <v>0</v>
      </c>
      <c r="H64" s="141">
        <f>'휴가대장 관리용'!L59</f>
        <v>0</v>
      </c>
      <c r="I64" s="141">
        <f>'휴가대장 관리용'!M59</f>
        <v>0</v>
      </c>
      <c r="J64" s="141">
        <f>'휴가대장 관리용'!N59</f>
        <v>0</v>
      </c>
      <c r="K64" s="141">
        <f>'휴가대장 관리용'!O59</f>
        <v>0</v>
      </c>
      <c r="L64" s="141">
        <f>'휴가대장 관리용'!P59</f>
        <v>0</v>
      </c>
      <c r="M64" s="141">
        <f>'휴가대장 관리용'!Q59</f>
        <v>0</v>
      </c>
      <c r="N64" s="141">
        <f>'휴가대장 관리용'!R59</f>
        <v>0</v>
      </c>
      <c r="O64" s="141">
        <f>'휴가대장 관리용'!S59</f>
        <v>0</v>
      </c>
      <c r="P64" s="141">
        <f>'휴가대장 관리용'!T59</f>
        <v>0</v>
      </c>
      <c r="Q64" s="141">
        <f>'휴가대장 관리용'!U59</f>
        <v>0</v>
      </c>
      <c r="R64" s="142">
        <f>'휴가대장 관리용'!V59</f>
        <v>0</v>
      </c>
    </row>
    <row r="65" spans="1:18" ht="32.1" customHeight="1" x14ac:dyDescent="0.4">
      <c r="A65" s="158">
        <v>53</v>
      </c>
      <c r="B65" s="89">
        <f>'휴가대장 관리용'!C60</f>
        <v>0</v>
      </c>
      <c r="C65" s="130" t="str">
        <f>'휴가대장 관리용'!D60</f>
        <v>-</v>
      </c>
      <c r="D65" s="137">
        <f>'휴가대장 관리용'!H60</f>
        <v>0</v>
      </c>
      <c r="E65" s="138">
        <f>'휴가대장 관리용'!I60</f>
        <v>0</v>
      </c>
      <c r="F65" s="139">
        <f>'휴가대장 관리용'!J60</f>
        <v>0</v>
      </c>
      <c r="G65" s="140">
        <f>'휴가대장 관리용'!K60</f>
        <v>0</v>
      </c>
      <c r="H65" s="141">
        <f>'휴가대장 관리용'!L60</f>
        <v>0</v>
      </c>
      <c r="I65" s="141">
        <f>'휴가대장 관리용'!M60</f>
        <v>0</v>
      </c>
      <c r="J65" s="141">
        <f>'휴가대장 관리용'!N60</f>
        <v>0</v>
      </c>
      <c r="K65" s="141">
        <f>'휴가대장 관리용'!O60</f>
        <v>0</v>
      </c>
      <c r="L65" s="141">
        <f>'휴가대장 관리용'!P60</f>
        <v>0</v>
      </c>
      <c r="M65" s="141">
        <f>'휴가대장 관리용'!Q60</f>
        <v>0</v>
      </c>
      <c r="N65" s="141">
        <f>'휴가대장 관리용'!R60</f>
        <v>0</v>
      </c>
      <c r="O65" s="141">
        <f>'휴가대장 관리용'!S60</f>
        <v>0</v>
      </c>
      <c r="P65" s="141">
        <f>'휴가대장 관리용'!T60</f>
        <v>0</v>
      </c>
      <c r="Q65" s="141">
        <f>'휴가대장 관리용'!U60</f>
        <v>0</v>
      </c>
      <c r="R65" s="142">
        <f>'휴가대장 관리용'!V60</f>
        <v>0</v>
      </c>
    </row>
    <row r="66" spans="1:18" ht="32.1" customHeight="1" x14ac:dyDescent="0.4">
      <c r="A66" s="158">
        <v>54</v>
      </c>
      <c r="B66" s="89">
        <f>'휴가대장 관리용'!C61</f>
        <v>0</v>
      </c>
      <c r="C66" s="130" t="str">
        <f>'휴가대장 관리용'!D61</f>
        <v>-</v>
      </c>
      <c r="D66" s="137">
        <f>'휴가대장 관리용'!H61</f>
        <v>0</v>
      </c>
      <c r="E66" s="138">
        <f>'휴가대장 관리용'!I61</f>
        <v>0</v>
      </c>
      <c r="F66" s="139">
        <f>'휴가대장 관리용'!J61</f>
        <v>0</v>
      </c>
      <c r="G66" s="140">
        <f>'휴가대장 관리용'!K61</f>
        <v>0</v>
      </c>
      <c r="H66" s="141">
        <f>'휴가대장 관리용'!L61</f>
        <v>0</v>
      </c>
      <c r="I66" s="141">
        <f>'휴가대장 관리용'!M61</f>
        <v>0</v>
      </c>
      <c r="J66" s="141">
        <f>'휴가대장 관리용'!N61</f>
        <v>0</v>
      </c>
      <c r="K66" s="141">
        <f>'휴가대장 관리용'!O61</f>
        <v>0</v>
      </c>
      <c r="L66" s="141">
        <f>'휴가대장 관리용'!P61</f>
        <v>0</v>
      </c>
      <c r="M66" s="141">
        <f>'휴가대장 관리용'!Q61</f>
        <v>0</v>
      </c>
      <c r="N66" s="141">
        <f>'휴가대장 관리용'!R61</f>
        <v>0</v>
      </c>
      <c r="O66" s="141">
        <f>'휴가대장 관리용'!S61</f>
        <v>0</v>
      </c>
      <c r="P66" s="141">
        <f>'휴가대장 관리용'!T61</f>
        <v>0</v>
      </c>
      <c r="Q66" s="141">
        <f>'휴가대장 관리용'!U61</f>
        <v>0</v>
      </c>
      <c r="R66" s="142">
        <f>'휴가대장 관리용'!V61</f>
        <v>0</v>
      </c>
    </row>
    <row r="67" spans="1:18" ht="32.1" customHeight="1" x14ac:dyDescent="0.4">
      <c r="A67" s="158">
        <v>55</v>
      </c>
      <c r="B67" s="89">
        <f>'휴가대장 관리용'!C62</f>
        <v>0</v>
      </c>
      <c r="C67" s="130" t="str">
        <f>'휴가대장 관리용'!D62</f>
        <v>-</v>
      </c>
      <c r="D67" s="137">
        <f>'휴가대장 관리용'!H62</f>
        <v>0</v>
      </c>
      <c r="E67" s="138">
        <f>'휴가대장 관리용'!I62</f>
        <v>0</v>
      </c>
      <c r="F67" s="139">
        <f>'휴가대장 관리용'!J62</f>
        <v>0</v>
      </c>
      <c r="G67" s="140">
        <f>'휴가대장 관리용'!K62</f>
        <v>0</v>
      </c>
      <c r="H67" s="141">
        <f>'휴가대장 관리용'!L62</f>
        <v>0</v>
      </c>
      <c r="I67" s="141">
        <f>'휴가대장 관리용'!M62</f>
        <v>0</v>
      </c>
      <c r="J67" s="141">
        <f>'휴가대장 관리용'!N62</f>
        <v>0</v>
      </c>
      <c r="K67" s="141">
        <f>'휴가대장 관리용'!O62</f>
        <v>0</v>
      </c>
      <c r="L67" s="141">
        <f>'휴가대장 관리용'!P62</f>
        <v>0</v>
      </c>
      <c r="M67" s="141">
        <f>'휴가대장 관리용'!Q62</f>
        <v>0</v>
      </c>
      <c r="N67" s="141">
        <f>'휴가대장 관리용'!R62</f>
        <v>0</v>
      </c>
      <c r="O67" s="141">
        <f>'휴가대장 관리용'!S62</f>
        <v>0</v>
      </c>
      <c r="P67" s="141">
        <f>'휴가대장 관리용'!T62</f>
        <v>0</v>
      </c>
      <c r="Q67" s="141">
        <f>'휴가대장 관리용'!U62</f>
        <v>0</v>
      </c>
      <c r="R67" s="142">
        <f>'휴가대장 관리용'!V62</f>
        <v>0</v>
      </c>
    </row>
    <row r="68" spans="1:18" ht="32.1" customHeight="1" x14ac:dyDescent="0.4">
      <c r="A68" s="158">
        <v>56</v>
      </c>
      <c r="B68" s="89">
        <f>'휴가대장 관리용'!C63</f>
        <v>0</v>
      </c>
      <c r="C68" s="130" t="str">
        <f>'휴가대장 관리용'!D63</f>
        <v>-</v>
      </c>
      <c r="D68" s="137">
        <f>'휴가대장 관리용'!H63</f>
        <v>0</v>
      </c>
      <c r="E68" s="138">
        <f>'휴가대장 관리용'!I63</f>
        <v>0</v>
      </c>
      <c r="F68" s="139">
        <f>'휴가대장 관리용'!J63</f>
        <v>0</v>
      </c>
      <c r="G68" s="140">
        <f>'휴가대장 관리용'!K63</f>
        <v>0</v>
      </c>
      <c r="H68" s="141">
        <f>'휴가대장 관리용'!L63</f>
        <v>0</v>
      </c>
      <c r="I68" s="141">
        <f>'휴가대장 관리용'!M63</f>
        <v>0</v>
      </c>
      <c r="J68" s="141">
        <f>'휴가대장 관리용'!N63</f>
        <v>0</v>
      </c>
      <c r="K68" s="141">
        <f>'휴가대장 관리용'!O63</f>
        <v>0</v>
      </c>
      <c r="L68" s="141">
        <f>'휴가대장 관리용'!P63</f>
        <v>0</v>
      </c>
      <c r="M68" s="141">
        <f>'휴가대장 관리용'!Q63</f>
        <v>0</v>
      </c>
      <c r="N68" s="141">
        <f>'휴가대장 관리용'!R63</f>
        <v>0</v>
      </c>
      <c r="O68" s="141">
        <f>'휴가대장 관리용'!S63</f>
        <v>0</v>
      </c>
      <c r="P68" s="141">
        <f>'휴가대장 관리용'!T63</f>
        <v>0</v>
      </c>
      <c r="Q68" s="141">
        <f>'휴가대장 관리용'!U63</f>
        <v>0</v>
      </c>
      <c r="R68" s="142">
        <f>'휴가대장 관리용'!V63</f>
        <v>0</v>
      </c>
    </row>
    <row r="69" spans="1:18" ht="32.1" customHeight="1" x14ac:dyDescent="0.4">
      <c r="A69" s="158">
        <v>57</v>
      </c>
      <c r="B69" s="89">
        <f>'휴가대장 관리용'!C64</f>
        <v>0</v>
      </c>
      <c r="C69" s="130" t="str">
        <f>'휴가대장 관리용'!D64</f>
        <v>-</v>
      </c>
      <c r="D69" s="137">
        <f>'휴가대장 관리용'!H64</f>
        <v>0</v>
      </c>
      <c r="E69" s="138">
        <f>'휴가대장 관리용'!I64</f>
        <v>0</v>
      </c>
      <c r="F69" s="139">
        <f>'휴가대장 관리용'!J64</f>
        <v>0</v>
      </c>
      <c r="G69" s="140">
        <f>'휴가대장 관리용'!K64</f>
        <v>0</v>
      </c>
      <c r="H69" s="141">
        <f>'휴가대장 관리용'!L64</f>
        <v>0</v>
      </c>
      <c r="I69" s="141">
        <f>'휴가대장 관리용'!M64</f>
        <v>0</v>
      </c>
      <c r="J69" s="141">
        <f>'휴가대장 관리용'!N64</f>
        <v>0</v>
      </c>
      <c r="K69" s="141">
        <f>'휴가대장 관리용'!O64</f>
        <v>0</v>
      </c>
      <c r="L69" s="141">
        <f>'휴가대장 관리용'!P64</f>
        <v>0</v>
      </c>
      <c r="M69" s="141">
        <f>'휴가대장 관리용'!Q64</f>
        <v>0</v>
      </c>
      <c r="N69" s="141">
        <f>'휴가대장 관리용'!R64</f>
        <v>0</v>
      </c>
      <c r="O69" s="141">
        <f>'휴가대장 관리용'!S64</f>
        <v>0</v>
      </c>
      <c r="P69" s="141">
        <f>'휴가대장 관리용'!T64</f>
        <v>0</v>
      </c>
      <c r="Q69" s="141">
        <f>'휴가대장 관리용'!U64</f>
        <v>0</v>
      </c>
      <c r="R69" s="142">
        <f>'휴가대장 관리용'!V64</f>
        <v>0</v>
      </c>
    </row>
    <row r="70" spans="1:18" ht="32.1" customHeight="1" x14ac:dyDescent="0.4">
      <c r="A70" s="158">
        <v>58</v>
      </c>
      <c r="B70" s="89">
        <f>'휴가대장 관리용'!C65</f>
        <v>0</v>
      </c>
      <c r="C70" s="130" t="str">
        <f>'휴가대장 관리용'!D65</f>
        <v>-</v>
      </c>
      <c r="D70" s="137">
        <f>'휴가대장 관리용'!H65</f>
        <v>0</v>
      </c>
      <c r="E70" s="138">
        <f>'휴가대장 관리용'!I65</f>
        <v>0</v>
      </c>
      <c r="F70" s="139">
        <f>'휴가대장 관리용'!J65</f>
        <v>0</v>
      </c>
      <c r="G70" s="140">
        <f>'휴가대장 관리용'!K65</f>
        <v>0</v>
      </c>
      <c r="H70" s="141">
        <f>'휴가대장 관리용'!L65</f>
        <v>0</v>
      </c>
      <c r="I70" s="141">
        <f>'휴가대장 관리용'!M65</f>
        <v>0</v>
      </c>
      <c r="J70" s="141">
        <f>'휴가대장 관리용'!N65</f>
        <v>0</v>
      </c>
      <c r="K70" s="141">
        <f>'휴가대장 관리용'!O65</f>
        <v>0</v>
      </c>
      <c r="L70" s="141">
        <f>'휴가대장 관리용'!P65</f>
        <v>0</v>
      </c>
      <c r="M70" s="141">
        <f>'휴가대장 관리용'!Q65</f>
        <v>0</v>
      </c>
      <c r="N70" s="141">
        <f>'휴가대장 관리용'!R65</f>
        <v>0</v>
      </c>
      <c r="O70" s="141">
        <f>'휴가대장 관리용'!S65</f>
        <v>0</v>
      </c>
      <c r="P70" s="141">
        <f>'휴가대장 관리용'!T65</f>
        <v>0</v>
      </c>
      <c r="Q70" s="141">
        <f>'휴가대장 관리용'!U65</f>
        <v>0</v>
      </c>
      <c r="R70" s="142">
        <f>'휴가대장 관리용'!V65</f>
        <v>0</v>
      </c>
    </row>
    <row r="71" spans="1:18" ht="32.1" customHeight="1" x14ac:dyDescent="0.4">
      <c r="A71" s="158">
        <v>59</v>
      </c>
      <c r="B71" s="89">
        <f>'휴가대장 관리용'!C66</f>
        <v>0</v>
      </c>
      <c r="C71" s="130" t="str">
        <f>'휴가대장 관리용'!D66</f>
        <v>-</v>
      </c>
      <c r="D71" s="137">
        <f>'휴가대장 관리용'!H66</f>
        <v>0</v>
      </c>
      <c r="E71" s="138">
        <f>'휴가대장 관리용'!I66</f>
        <v>0</v>
      </c>
      <c r="F71" s="139">
        <f>'휴가대장 관리용'!J66</f>
        <v>0</v>
      </c>
      <c r="G71" s="140">
        <f>'휴가대장 관리용'!K66</f>
        <v>0</v>
      </c>
      <c r="H71" s="141">
        <f>'휴가대장 관리용'!L66</f>
        <v>0</v>
      </c>
      <c r="I71" s="141">
        <f>'휴가대장 관리용'!M66</f>
        <v>0</v>
      </c>
      <c r="J71" s="141">
        <f>'휴가대장 관리용'!N66</f>
        <v>0</v>
      </c>
      <c r="K71" s="141">
        <f>'휴가대장 관리용'!O66</f>
        <v>0</v>
      </c>
      <c r="L71" s="141">
        <f>'휴가대장 관리용'!P66</f>
        <v>0</v>
      </c>
      <c r="M71" s="141">
        <f>'휴가대장 관리용'!Q66</f>
        <v>0</v>
      </c>
      <c r="N71" s="141">
        <f>'휴가대장 관리용'!R66</f>
        <v>0</v>
      </c>
      <c r="O71" s="141">
        <f>'휴가대장 관리용'!S66</f>
        <v>0</v>
      </c>
      <c r="P71" s="141">
        <f>'휴가대장 관리용'!T66</f>
        <v>0</v>
      </c>
      <c r="Q71" s="141">
        <f>'휴가대장 관리용'!U66</f>
        <v>0</v>
      </c>
      <c r="R71" s="142">
        <f>'휴가대장 관리용'!V66</f>
        <v>0</v>
      </c>
    </row>
    <row r="72" spans="1:18" ht="32.1" customHeight="1" x14ac:dyDescent="0.4">
      <c r="A72" s="158">
        <v>60</v>
      </c>
      <c r="B72" s="89">
        <f>'휴가대장 관리용'!C67</f>
        <v>0</v>
      </c>
      <c r="C72" s="130" t="str">
        <f>'휴가대장 관리용'!D67</f>
        <v>-</v>
      </c>
      <c r="D72" s="137">
        <f>'휴가대장 관리용'!H67</f>
        <v>0</v>
      </c>
      <c r="E72" s="138">
        <f>'휴가대장 관리용'!I67</f>
        <v>0</v>
      </c>
      <c r="F72" s="139">
        <f>'휴가대장 관리용'!J67</f>
        <v>0</v>
      </c>
      <c r="G72" s="140">
        <f>'휴가대장 관리용'!K67</f>
        <v>0</v>
      </c>
      <c r="H72" s="141">
        <f>'휴가대장 관리용'!L67</f>
        <v>0</v>
      </c>
      <c r="I72" s="141">
        <f>'휴가대장 관리용'!M67</f>
        <v>0</v>
      </c>
      <c r="J72" s="141">
        <f>'휴가대장 관리용'!N67</f>
        <v>0</v>
      </c>
      <c r="K72" s="141">
        <f>'휴가대장 관리용'!O67</f>
        <v>0</v>
      </c>
      <c r="L72" s="141">
        <f>'휴가대장 관리용'!P67</f>
        <v>0</v>
      </c>
      <c r="M72" s="141">
        <f>'휴가대장 관리용'!Q67</f>
        <v>0</v>
      </c>
      <c r="N72" s="141">
        <f>'휴가대장 관리용'!R67</f>
        <v>0</v>
      </c>
      <c r="O72" s="141">
        <f>'휴가대장 관리용'!S67</f>
        <v>0</v>
      </c>
      <c r="P72" s="141">
        <f>'휴가대장 관리용'!T67</f>
        <v>0</v>
      </c>
      <c r="Q72" s="141">
        <f>'휴가대장 관리용'!U67</f>
        <v>0</v>
      </c>
      <c r="R72" s="142">
        <f>'휴가대장 관리용'!V67</f>
        <v>0</v>
      </c>
    </row>
    <row r="73" spans="1:18" ht="32.1" customHeight="1" x14ac:dyDescent="0.4">
      <c r="A73" s="158">
        <v>61</v>
      </c>
      <c r="B73" s="89">
        <f>'휴가대장 관리용'!C68</f>
        <v>0</v>
      </c>
      <c r="C73" s="130" t="str">
        <f>'휴가대장 관리용'!D68</f>
        <v>-</v>
      </c>
      <c r="D73" s="137">
        <f>'휴가대장 관리용'!H68</f>
        <v>0</v>
      </c>
      <c r="E73" s="138">
        <f>'휴가대장 관리용'!I68</f>
        <v>0</v>
      </c>
      <c r="F73" s="139">
        <f>'휴가대장 관리용'!J68</f>
        <v>0</v>
      </c>
      <c r="G73" s="140">
        <f>'휴가대장 관리용'!K68</f>
        <v>0</v>
      </c>
      <c r="H73" s="141">
        <f>'휴가대장 관리용'!L68</f>
        <v>0</v>
      </c>
      <c r="I73" s="141">
        <f>'휴가대장 관리용'!M68</f>
        <v>0</v>
      </c>
      <c r="J73" s="141">
        <f>'휴가대장 관리용'!N68</f>
        <v>0</v>
      </c>
      <c r="K73" s="141">
        <f>'휴가대장 관리용'!O68</f>
        <v>0</v>
      </c>
      <c r="L73" s="141">
        <f>'휴가대장 관리용'!P68</f>
        <v>0</v>
      </c>
      <c r="M73" s="141">
        <f>'휴가대장 관리용'!Q68</f>
        <v>0</v>
      </c>
      <c r="N73" s="141">
        <f>'휴가대장 관리용'!R68</f>
        <v>0</v>
      </c>
      <c r="O73" s="141">
        <f>'휴가대장 관리용'!S68</f>
        <v>0</v>
      </c>
      <c r="P73" s="141">
        <f>'휴가대장 관리용'!T68</f>
        <v>0</v>
      </c>
      <c r="Q73" s="141">
        <f>'휴가대장 관리용'!U68</f>
        <v>0</v>
      </c>
      <c r="R73" s="142">
        <f>'휴가대장 관리용'!V68</f>
        <v>0</v>
      </c>
    </row>
    <row r="74" spans="1:18" ht="32.1" customHeight="1" x14ac:dyDescent="0.4">
      <c r="A74" s="158">
        <v>62</v>
      </c>
      <c r="B74" s="89">
        <f>'휴가대장 관리용'!C69</f>
        <v>0</v>
      </c>
      <c r="C74" s="130" t="str">
        <f>'휴가대장 관리용'!D69</f>
        <v>-</v>
      </c>
      <c r="D74" s="137">
        <f>'휴가대장 관리용'!H69</f>
        <v>0</v>
      </c>
      <c r="E74" s="138">
        <f>'휴가대장 관리용'!I69</f>
        <v>0</v>
      </c>
      <c r="F74" s="139">
        <f>'휴가대장 관리용'!J69</f>
        <v>0</v>
      </c>
      <c r="G74" s="140">
        <f>'휴가대장 관리용'!K69</f>
        <v>0</v>
      </c>
      <c r="H74" s="141">
        <f>'휴가대장 관리용'!L69</f>
        <v>0</v>
      </c>
      <c r="I74" s="141">
        <f>'휴가대장 관리용'!M69</f>
        <v>0</v>
      </c>
      <c r="J74" s="141">
        <f>'휴가대장 관리용'!N69</f>
        <v>0</v>
      </c>
      <c r="K74" s="141">
        <f>'휴가대장 관리용'!O69</f>
        <v>0</v>
      </c>
      <c r="L74" s="141">
        <f>'휴가대장 관리용'!P69</f>
        <v>0</v>
      </c>
      <c r="M74" s="141">
        <f>'휴가대장 관리용'!Q69</f>
        <v>0</v>
      </c>
      <c r="N74" s="141">
        <f>'휴가대장 관리용'!R69</f>
        <v>0</v>
      </c>
      <c r="O74" s="141">
        <f>'휴가대장 관리용'!S69</f>
        <v>0</v>
      </c>
      <c r="P74" s="141">
        <f>'휴가대장 관리용'!T69</f>
        <v>0</v>
      </c>
      <c r="Q74" s="141">
        <f>'휴가대장 관리용'!U69</f>
        <v>0</v>
      </c>
      <c r="R74" s="142">
        <f>'휴가대장 관리용'!V69</f>
        <v>0</v>
      </c>
    </row>
    <row r="75" spans="1:18" ht="32.1" customHeight="1" x14ac:dyDescent="0.4">
      <c r="A75" s="158">
        <v>63</v>
      </c>
      <c r="B75" s="89">
        <f>'휴가대장 관리용'!C70</f>
        <v>0</v>
      </c>
      <c r="C75" s="130" t="str">
        <f>'휴가대장 관리용'!D70</f>
        <v>-</v>
      </c>
      <c r="D75" s="137">
        <f>'휴가대장 관리용'!H70</f>
        <v>0</v>
      </c>
      <c r="E75" s="138">
        <f>'휴가대장 관리용'!I70</f>
        <v>0</v>
      </c>
      <c r="F75" s="139">
        <f>'휴가대장 관리용'!J70</f>
        <v>0</v>
      </c>
      <c r="G75" s="140">
        <f>'휴가대장 관리용'!K70</f>
        <v>0</v>
      </c>
      <c r="H75" s="141">
        <f>'휴가대장 관리용'!L70</f>
        <v>0</v>
      </c>
      <c r="I75" s="141">
        <f>'휴가대장 관리용'!M70</f>
        <v>0</v>
      </c>
      <c r="J75" s="141">
        <f>'휴가대장 관리용'!N70</f>
        <v>0</v>
      </c>
      <c r="K75" s="141">
        <f>'휴가대장 관리용'!O70</f>
        <v>0</v>
      </c>
      <c r="L75" s="141">
        <f>'휴가대장 관리용'!P70</f>
        <v>0</v>
      </c>
      <c r="M75" s="141">
        <f>'휴가대장 관리용'!Q70</f>
        <v>0</v>
      </c>
      <c r="N75" s="141">
        <f>'휴가대장 관리용'!R70</f>
        <v>0</v>
      </c>
      <c r="O75" s="141">
        <f>'휴가대장 관리용'!S70</f>
        <v>0</v>
      </c>
      <c r="P75" s="141">
        <f>'휴가대장 관리용'!T70</f>
        <v>0</v>
      </c>
      <c r="Q75" s="141">
        <f>'휴가대장 관리용'!U70</f>
        <v>0</v>
      </c>
      <c r="R75" s="142">
        <f>'휴가대장 관리용'!V70</f>
        <v>0</v>
      </c>
    </row>
    <row r="76" spans="1:18" ht="32.1" customHeight="1" x14ac:dyDescent="0.4">
      <c r="A76" s="158">
        <v>64</v>
      </c>
      <c r="B76" s="89">
        <f>'휴가대장 관리용'!C71</f>
        <v>0</v>
      </c>
      <c r="C76" s="130" t="str">
        <f>'휴가대장 관리용'!D71</f>
        <v>-</v>
      </c>
      <c r="D76" s="137">
        <f>'휴가대장 관리용'!H71</f>
        <v>0</v>
      </c>
      <c r="E76" s="138">
        <f>'휴가대장 관리용'!I71</f>
        <v>0</v>
      </c>
      <c r="F76" s="139">
        <f>'휴가대장 관리용'!J71</f>
        <v>0</v>
      </c>
      <c r="G76" s="140">
        <f>'휴가대장 관리용'!K71</f>
        <v>0</v>
      </c>
      <c r="H76" s="141">
        <f>'휴가대장 관리용'!L71</f>
        <v>0</v>
      </c>
      <c r="I76" s="141">
        <f>'휴가대장 관리용'!M71</f>
        <v>0</v>
      </c>
      <c r="J76" s="141">
        <f>'휴가대장 관리용'!N71</f>
        <v>0</v>
      </c>
      <c r="K76" s="141">
        <f>'휴가대장 관리용'!O71</f>
        <v>0</v>
      </c>
      <c r="L76" s="141">
        <f>'휴가대장 관리용'!P71</f>
        <v>0</v>
      </c>
      <c r="M76" s="141">
        <f>'휴가대장 관리용'!Q71</f>
        <v>0</v>
      </c>
      <c r="N76" s="141">
        <f>'휴가대장 관리용'!R71</f>
        <v>0</v>
      </c>
      <c r="O76" s="141">
        <f>'휴가대장 관리용'!S71</f>
        <v>0</v>
      </c>
      <c r="P76" s="141">
        <f>'휴가대장 관리용'!T71</f>
        <v>0</v>
      </c>
      <c r="Q76" s="141">
        <f>'휴가대장 관리용'!U71</f>
        <v>0</v>
      </c>
      <c r="R76" s="142">
        <f>'휴가대장 관리용'!V71</f>
        <v>0</v>
      </c>
    </row>
    <row r="77" spans="1:18" ht="32.1" customHeight="1" x14ac:dyDescent="0.4">
      <c r="A77" s="158">
        <v>65</v>
      </c>
      <c r="B77" s="89">
        <f>'휴가대장 관리용'!C72</f>
        <v>0</v>
      </c>
      <c r="C77" s="130" t="str">
        <f>'휴가대장 관리용'!D72</f>
        <v>-</v>
      </c>
      <c r="D77" s="137">
        <f>'휴가대장 관리용'!H72</f>
        <v>0</v>
      </c>
      <c r="E77" s="138">
        <f>'휴가대장 관리용'!I72</f>
        <v>0</v>
      </c>
      <c r="F77" s="139">
        <f>'휴가대장 관리용'!J72</f>
        <v>0</v>
      </c>
      <c r="G77" s="140">
        <f>'휴가대장 관리용'!K72</f>
        <v>0</v>
      </c>
      <c r="H77" s="141">
        <f>'휴가대장 관리용'!L72</f>
        <v>0</v>
      </c>
      <c r="I77" s="141">
        <f>'휴가대장 관리용'!M72</f>
        <v>0</v>
      </c>
      <c r="J77" s="141">
        <f>'휴가대장 관리용'!N72</f>
        <v>0</v>
      </c>
      <c r="K77" s="141">
        <f>'휴가대장 관리용'!O72</f>
        <v>0</v>
      </c>
      <c r="L77" s="141">
        <f>'휴가대장 관리용'!P72</f>
        <v>0</v>
      </c>
      <c r="M77" s="141">
        <f>'휴가대장 관리용'!Q72</f>
        <v>0</v>
      </c>
      <c r="N77" s="141">
        <f>'휴가대장 관리용'!R72</f>
        <v>0</v>
      </c>
      <c r="O77" s="141">
        <f>'휴가대장 관리용'!S72</f>
        <v>0</v>
      </c>
      <c r="P77" s="141">
        <f>'휴가대장 관리용'!T72</f>
        <v>0</v>
      </c>
      <c r="Q77" s="141">
        <f>'휴가대장 관리용'!U72</f>
        <v>0</v>
      </c>
      <c r="R77" s="142">
        <f>'휴가대장 관리용'!V72</f>
        <v>0</v>
      </c>
    </row>
    <row r="78" spans="1:18" ht="32.1" customHeight="1" x14ac:dyDescent="0.4">
      <c r="A78" s="158">
        <v>66</v>
      </c>
      <c r="B78" s="89">
        <f>'휴가대장 관리용'!C73</f>
        <v>0</v>
      </c>
      <c r="C78" s="130" t="str">
        <f>'휴가대장 관리용'!D73</f>
        <v>-</v>
      </c>
      <c r="D78" s="137">
        <f>'휴가대장 관리용'!H73</f>
        <v>0</v>
      </c>
      <c r="E78" s="138">
        <f>'휴가대장 관리용'!I73</f>
        <v>0</v>
      </c>
      <c r="F78" s="139">
        <f>'휴가대장 관리용'!J73</f>
        <v>0</v>
      </c>
      <c r="G78" s="140">
        <f>'휴가대장 관리용'!K73</f>
        <v>0</v>
      </c>
      <c r="H78" s="141">
        <f>'휴가대장 관리용'!L73</f>
        <v>0</v>
      </c>
      <c r="I78" s="141">
        <f>'휴가대장 관리용'!M73</f>
        <v>0</v>
      </c>
      <c r="J78" s="141">
        <f>'휴가대장 관리용'!N73</f>
        <v>0</v>
      </c>
      <c r="K78" s="141">
        <f>'휴가대장 관리용'!O73</f>
        <v>0</v>
      </c>
      <c r="L78" s="141">
        <f>'휴가대장 관리용'!P73</f>
        <v>0</v>
      </c>
      <c r="M78" s="141">
        <f>'휴가대장 관리용'!Q73</f>
        <v>0</v>
      </c>
      <c r="N78" s="141">
        <f>'휴가대장 관리용'!R73</f>
        <v>0</v>
      </c>
      <c r="O78" s="141">
        <f>'휴가대장 관리용'!S73</f>
        <v>0</v>
      </c>
      <c r="P78" s="141">
        <f>'휴가대장 관리용'!T73</f>
        <v>0</v>
      </c>
      <c r="Q78" s="141">
        <f>'휴가대장 관리용'!U73</f>
        <v>0</v>
      </c>
      <c r="R78" s="142">
        <f>'휴가대장 관리용'!V73</f>
        <v>0</v>
      </c>
    </row>
    <row r="79" spans="1:18" ht="32.1" customHeight="1" x14ac:dyDescent="0.4">
      <c r="A79" s="158">
        <v>67</v>
      </c>
      <c r="B79" s="89">
        <f>'휴가대장 관리용'!C74</f>
        <v>0</v>
      </c>
      <c r="C79" s="130" t="str">
        <f>'휴가대장 관리용'!D74</f>
        <v>-</v>
      </c>
      <c r="D79" s="137">
        <f>'휴가대장 관리용'!H74</f>
        <v>0</v>
      </c>
      <c r="E79" s="138">
        <f>'휴가대장 관리용'!I74</f>
        <v>0</v>
      </c>
      <c r="F79" s="139">
        <f>'휴가대장 관리용'!J74</f>
        <v>0</v>
      </c>
      <c r="G79" s="140">
        <f>'휴가대장 관리용'!K74</f>
        <v>0</v>
      </c>
      <c r="H79" s="141">
        <f>'휴가대장 관리용'!L74</f>
        <v>0</v>
      </c>
      <c r="I79" s="141">
        <f>'휴가대장 관리용'!M74</f>
        <v>0</v>
      </c>
      <c r="J79" s="141">
        <f>'휴가대장 관리용'!N74</f>
        <v>0</v>
      </c>
      <c r="K79" s="141">
        <f>'휴가대장 관리용'!O74</f>
        <v>0</v>
      </c>
      <c r="L79" s="141">
        <f>'휴가대장 관리용'!P74</f>
        <v>0</v>
      </c>
      <c r="M79" s="141">
        <f>'휴가대장 관리용'!Q74</f>
        <v>0</v>
      </c>
      <c r="N79" s="141">
        <f>'휴가대장 관리용'!R74</f>
        <v>0</v>
      </c>
      <c r="O79" s="141">
        <f>'휴가대장 관리용'!S74</f>
        <v>0</v>
      </c>
      <c r="P79" s="141">
        <f>'휴가대장 관리용'!T74</f>
        <v>0</v>
      </c>
      <c r="Q79" s="141">
        <f>'휴가대장 관리용'!U74</f>
        <v>0</v>
      </c>
      <c r="R79" s="142">
        <f>'휴가대장 관리용'!V74</f>
        <v>0</v>
      </c>
    </row>
    <row r="80" spans="1:18" ht="32.1" customHeight="1" x14ac:dyDescent="0.4">
      <c r="A80" s="158">
        <v>68</v>
      </c>
      <c r="B80" s="89">
        <f>'휴가대장 관리용'!C75</f>
        <v>0</v>
      </c>
      <c r="C80" s="130" t="str">
        <f>'휴가대장 관리용'!D75</f>
        <v>-</v>
      </c>
      <c r="D80" s="137">
        <f>'휴가대장 관리용'!H75</f>
        <v>0</v>
      </c>
      <c r="E80" s="138">
        <f>'휴가대장 관리용'!I75</f>
        <v>0</v>
      </c>
      <c r="F80" s="139">
        <f>'휴가대장 관리용'!J75</f>
        <v>0</v>
      </c>
      <c r="G80" s="140">
        <f>'휴가대장 관리용'!K75</f>
        <v>0</v>
      </c>
      <c r="H80" s="141">
        <f>'휴가대장 관리용'!L75</f>
        <v>0</v>
      </c>
      <c r="I80" s="141">
        <f>'휴가대장 관리용'!M75</f>
        <v>0</v>
      </c>
      <c r="J80" s="141">
        <f>'휴가대장 관리용'!N75</f>
        <v>0</v>
      </c>
      <c r="K80" s="141">
        <f>'휴가대장 관리용'!O75</f>
        <v>0</v>
      </c>
      <c r="L80" s="141">
        <f>'휴가대장 관리용'!P75</f>
        <v>0</v>
      </c>
      <c r="M80" s="141">
        <f>'휴가대장 관리용'!Q75</f>
        <v>0</v>
      </c>
      <c r="N80" s="141">
        <f>'휴가대장 관리용'!R75</f>
        <v>0</v>
      </c>
      <c r="O80" s="141">
        <f>'휴가대장 관리용'!S75</f>
        <v>0</v>
      </c>
      <c r="P80" s="141">
        <f>'휴가대장 관리용'!T75</f>
        <v>0</v>
      </c>
      <c r="Q80" s="141">
        <f>'휴가대장 관리용'!U75</f>
        <v>0</v>
      </c>
      <c r="R80" s="142">
        <f>'휴가대장 관리용'!V75</f>
        <v>0</v>
      </c>
    </row>
    <row r="81" spans="1:18" ht="32.1" customHeight="1" x14ac:dyDescent="0.4">
      <c r="A81" s="158">
        <v>69</v>
      </c>
      <c r="B81" s="89">
        <f>'휴가대장 관리용'!C76</f>
        <v>0</v>
      </c>
      <c r="C81" s="130" t="str">
        <f>'휴가대장 관리용'!D76</f>
        <v>-</v>
      </c>
      <c r="D81" s="137">
        <f>'휴가대장 관리용'!H76</f>
        <v>0</v>
      </c>
      <c r="E81" s="138">
        <f>'휴가대장 관리용'!I76</f>
        <v>0</v>
      </c>
      <c r="F81" s="139">
        <f>'휴가대장 관리용'!J76</f>
        <v>0</v>
      </c>
      <c r="G81" s="140">
        <f>'휴가대장 관리용'!K76</f>
        <v>0</v>
      </c>
      <c r="H81" s="141">
        <f>'휴가대장 관리용'!L76</f>
        <v>0</v>
      </c>
      <c r="I81" s="141">
        <f>'휴가대장 관리용'!M76</f>
        <v>0</v>
      </c>
      <c r="J81" s="141">
        <f>'휴가대장 관리용'!N76</f>
        <v>0</v>
      </c>
      <c r="K81" s="141">
        <f>'휴가대장 관리용'!O76</f>
        <v>0</v>
      </c>
      <c r="L81" s="141">
        <f>'휴가대장 관리용'!P76</f>
        <v>0</v>
      </c>
      <c r="M81" s="141">
        <f>'휴가대장 관리용'!Q76</f>
        <v>0</v>
      </c>
      <c r="N81" s="141">
        <f>'휴가대장 관리용'!R76</f>
        <v>0</v>
      </c>
      <c r="O81" s="141">
        <f>'휴가대장 관리용'!S76</f>
        <v>0</v>
      </c>
      <c r="P81" s="141">
        <f>'휴가대장 관리용'!T76</f>
        <v>0</v>
      </c>
      <c r="Q81" s="141">
        <f>'휴가대장 관리용'!U76</f>
        <v>0</v>
      </c>
      <c r="R81" s="142">
        <f>'휴가대장 관리용'!V76</f>
        <v>0</v>
      </c>
    </row>
    <row r="82" spans="1:18" ht="32.1" customHeight="1" x14ac:dyDescent="0.4">
      <c r="A82" s="158">
        <v>70</v>
      </c>
      <c r="B82" s="89">
        <f>'휴가대장 관리용'!C77</f>
        <v>0</v>
      </c>
      <c r="C82" s="130" t="str">
        <f>'휴가대장 관리용'!D77</f>
        <v>-</v>
      </c>
      <c r="D82" s="137">
        <f>'휴가대장 관리용'!H77</f>
        <v>0</v>
      </c>
      <c r="E82" s="138">
        <f>'휴가대장 관리용'!I77</f>
        <v>0</v>
      </c>
      <c r="F82" s="139">
        <f>'휴가대장 관리용'!J77</f>
        <v>0</v>
      </c>
      <c r="G82" s="140">
        <f>'휴가대장 관리용'!K77</f>
        <v>0</v>
      </c>
      <c r="H82" s="141">
        <f>'휴가대장 관리용'!L77</f>
        <v>0</v>
      </c>
      <c r="I82" s="141">
        <f>'휴가대장 관리용'!M77</f>
        <v>0</v>
      </c>
      <c r="J82" s="141">
        <f>'휴가대장 관리용'!N77</f>
        <v>0</v>
      </c>
      <c r="K82" s="141">
        <f>'휴가대장 관리용'!O77</f>
        <v>0</v>
      </c>
      <c r="L82" s="141">
        <f>'휴가대장 관리용'!P77</f>
        <v>0</v>
      </c>
      <c r="M82" s="141">
        <f>'휴가대장 관리용'!Q77</f>
        <v>0</v>
      </c>
      <c r="N82" s="141">
        <f>'휴가대장 관리용'!R77</f>
        <v>0</v>
      </c>
      <c r="O82" s="141">
        <f>'휴가대장 관리용'!S77</f>
        <v>0</v>
      </c>
      <c r="P82" s="141">
        <f>'휴가대장 관리용'!T77</f>
        <v>0</v>
      </c>
      <c r="Q82" s="141">
        <f>'휴가대장 관리용'!U77</f>
        <v>0</v>
      </c>
      <c r="R82" s="142">
        <f>'휴가대장 관리용'!V77</f>
        <v>0</v>
      </c>
    </row>
    <row r="83" spans="1:18" ht="32.1" customHeight="1" x14ac:dyDescent="0.4">
      <c r="A83" s="158">
        <v>71</v>
      </c>
      <c r="B83" s="89">
        <f>'휴가대장 관리용'!C78</f>
        <v>0</v>
      </c>
      <c r="C83" s="130" t="str">
        <f>'휴가대장 관리용'!D78</f>
        <v>-</v>
      </c>
      <c r="D83" s="137">
        <f>'휴가대장 관리용'!H78</f>
        <v>0</v>
      </c>
      <c r="E83" s="138">
        <f>'휴가대장 관리용'!I78</f>
        <v>0</v>
      </c>
      <c r="F83" s="139">
        <f>'휴가대장 관리용'!J78</f>
        <v>0</v>
      </c>
      <c r="G83" s="140">
        <f>'휴가대장 관리용'!K78</f>
        <v>0</v>
      </c>
      <c r="H83" s="141">
        <f>'휴가대장 관리용'!L78</f>
        <v>0</v>
      </c>
      <c r="I83" s="141">
        <f>'휴가대장 관리용'!M78</f>
        <v>0</v>
      </c>
      <c r="J83" s="141">
        <f>'휴가대장 관리용'!N78</f>
        <v>0</v>
      </c>
      <c r="K83" s="141">
        <f>'휴가대장 관리용'!O78</f>
        <v>0</v>
      </c>
      <c r="L83" s="141">
        <f>'휴가대장 관리용'!P78</f>
        <v>0</v>
      </c>
      <c r="M83" s="141">
        <f>'휴가대장 관리용'!Q78</f>
        <v>0</v>
      </c>
      <c r="N83" s="141">
        <f>'휴가대장 관리용'!R78</f>
        <v>0</v>
      </c>
      <c r="O83" s="141">
        <f>'휴가대장 관리용'!S78</f>
        <v>0</v>
      </c>
      <c r="P83" s="141">
        <f>'휴가대장 관리용'!T78</f>
        <v>0</v>
      </c>
      <c r="Q83" s="141">
        <f>'휴가대장 관리용'!U78</f>
        <v>0</v>
      </c>
      <c r="R83" s="142">
        <f>'휴가대장 관리용'!V78</f>
        <v>0</v>
      </c>
    </row>
    <row r="84" spans="1:18" ht="32.1" customHeight="1" x14ac:dyDescent="0.4">
      <c r="A84" s="158">
        <v>72</v>
      </c>
      <c r="B84" s="89">
        <f>'휴가대장 관리용'!C79</f>
        <v>0</v>
      </c>
      <c r="C84" s="130" t="str">
        <f>'휴가대장 관리용'!D79</f>
        <v>-</v>
      </c>
      <c r="D84" s="137">
        <f>'휴가대장 관리용'!H79</f>
        <v>0</v>
      </c>
      <c r="E84" s="138">
        <f>'휴가대장 관리용'!I79</f>
        <v>0</v>
      </c>
      <c r="F84" s="139">
        <f>'휴가대장 관리용'!J79</f>
        <v>0</v>
      </c>
      <c r="G84" s="140">
        <f>'휴가대장 관리용'!K79</f>
        <v>0</v>
      </c>
      <c r="H84" s="141">
        <f>'휴가대장 관리용'!L79</f>
        <v>0</v>
      </c>
      <c r="I84" s="141">
        <f>'휴가대장 관리용'!M79</f>
        <v>0</v>
      </c>
      <c r="J84" s="141">
        <f>'휴가대장 관리용'!N79</f>
        <v>0</v>
      </c>
      <c r="K84" s="141">
        <f>'휴가대장 관리용'!O79</f>
        <v>0</v>
      </c>
      <c r="L84" s="141">
        <f>'휴가대장 관리용'!P79</f>
        <v>0</v>
      </c>
      <c r="M84" s="141">
        <f>'휴가대장 관리용'!Q79</f>
        <v>0</v>
      </c>
      <c r="N84" s="141">
        <f>'휴가대장 관리용'!R79</f>
        <v>0</v>
      </c>
      <c r="O84" s="141">
        <f>'휴가대장 관리용'!S79</f>
        <v>0</v>
      </c>
      <c r="P84" s="141">
        <f>'휴가대장 관리용'!T79</f>
        <v>0</v>
      </c>
      <c r="Q84" s="141">
        <f>'휴가대장 관리용'!U79</f>
        <v>0</v>
      </c>
      <c r="R84" s="142">
        <f>'휴가대장 관리용'!V79</f>
        <v>0</v>
      </c>
    </row>
    <row r="85" spans="1:18" ht="32.1" customHeight="1" x14ac:dyDescent="0.4">
      <c r="A85" s="158">
        <v>73</v>
      </c>
      <c r="B85" s="89">
        <f>'휴가대장 관리용'!C80</f>
        <v>0</v>
      </c>
      <c r="C85" s="130" t="str">
        <f>'휴가대장 관리용'!D80</f>
        <v>-</v>
      </c>
      <c r="D85" s="137">
        <f>'휴가대장 관리용'!H80</f>
        <v>0</v>
      </c>
      <c r="E85" s="138">
        <f>'휴가대장 관리용'!I80</f>
        <v>0</v>
      </c>
      <c r="F85" s="139">
        <f>'휴가대장 관리용'!J80</f>
        <v>0</v>
      </c>
      <c r="G85" s="140">
        <f>'휴가대장 관리용'!K80</f>
        <v>0</v>
      </c>
      <c r="H85" s="141">
        <f>'휴가대장 관리용'!L80</f>
        <v>0</v>
      </c>
      <c r="I85" s="141">
        <f>'휴가대장 관리용'!M80</f>
        <v>0</v>
      </c>
      <c r="J85" s="141">
        <f>'휴가대장 관리용'!N80</f>
        <v>0</v>
      </c>
      <c r="K85" s="141">
        <f>'휴가대장 관리용'!O80</f>
        <v>0</v>
      </c>
      <c r="L85" s="141">
        <f>'휴가대장 관리용'!P80</f>
        <v>0</v>
      </c>
      <c r="M85" s="141">
        <f>'휴가대장 관리용'!Q80</f>
        <v>0</v>
      </c>
      <c r="N85" s="141">
        <f>'휴가대장 관리용'!R80</f>
        <v>0</v>
      </c>
      <c r="O85" s="141">
        <f>'휴가대장 관리용'!S80</f>
        <v>0</v>
      </c>
      <c r="P85" s="141">
        <f>'휴가대장 관리용'!T80</f>
        <v>0</v>
      </c>
      <c r="Q85" s="141">
        <f>'휴가대장 관리용'!U80</f>
        <v>0</v>
      </c>
      <c r="R85" s="142">
        <f>'휴가대장 관리용'!V80</f>
        <v>0</v>
      </c>
    </row>
    <row r="86" spans="1:18" ht="32.1" customHeight="1" x14ac:dyDescent="0.4">
      <c r="A86" s="158">
        <v>74</v>
      </c>
      <c r="B86" s="89">
        <f>'휴가대장 관리용'!C81</f>
        <v>0</v>
      </c>
      <c r="C86" s="130" t="str">
        <f>'휴가대장 관리용'!D81</f>
        <v>-</v>
      </c>
      <c r="D86" s="137">
        <f>'휴가대장 관리용'!H81</f>
        <v>0</v>
      </c>
      <c r="E86" s="138">
        <f>'휴가대장 관리용'!I81</f>
        <v>0</v>
      </c>
      <c r="F86" s="139">
        <f>'휴가대장 관리용'!J81</f>
        <v>0</v>
      </c>
      <c r="G86" s="140">
        <f>'휴가대장 관리용'!K81</f>
        <v>0</v>
      </c>
      <c r="H86" s="141">
        <f>'휴가대장 관리용'!L81</f>
        <v>0</v>
      </c>
      <c r="I86" s="141">
        <f>'휴가대장 관리용'!M81</f>
        <v>0</v>
      </c>
      <c r="J86" s="141">
        <f>'휴가대장 관리용'!N81</f>
        <v>0</v>
      </c>
      <c r="K86" s="141">
        <f>'휴가대장 관리용'!O81</f>
        <v>0</v>
      </c>
      <c r="L86" s="141">
        <f>'휴가대장 관리용'!P81</f>
        <v>0</v>
      </c>
      <c r="M86" s="141">
        <f>'휴가대장 관리용'!Q81</f>
        <v>0</v>
      </c>
      <c r="N86" s="141">
        <f>'휴가대장 관리용'!R81</f>
        <v>0</v>
      </c>
      <c r="O86" s="141">
        <f>'휴가대장 관리용'!S81</f>
        <v>0</v>
      </c>
      <c r="P86" s="141">
        <f>'휴가대장 관리용'!T81</f>
        <v>0</v>
      </c>
      <c r="Q86" s="141">
        <f>'휴가대장 관리용'!U81</f>
        <v>0</v>
      </c>
      <c r="R86" s="142">
        <f>'휴가대장 관리용'!V81</f>
        <v>0</v>
      </c>
    </row>
    <row r="87" spans="1:18" ht="32.1" customHeight="1" x14ac:dyDescent="0.4">
      <c r="A87" s="158">
        <v>75</v>
      </c>
      <c r="B87" s="89">
        <f>'휴가대장 관리용'!C82</f>
        <v>0</v>
      </c>
      <c r="C87" s="130" t="str">
        <f>'휴가대장 관리용'!D82</f>
        <v>-</v>
      </c>
      <c r="D87" s="137">
        <f>'휴가대장 관리용'!H82</f>
        <v>0</v>
      </c>
      <c r="E87" s="138">
        <f>'휴가대장 관리용'!I82</f>
        <v>0</v>
      </c>
      <c r="F87" s="139">
        <f>'휴가대장 관리용'!J82</f>
        <v>0</v>
      </c>
      <c r="G87" s="140">
        <f>'휴가대장 관리용'!K82</f>
        <v>0</v>
      </c>
      <c r="H87" s="141">
        <f>'휴가대장 관리용'!L82</f>
        <v>0</v>
      </c>
      <c r="I87" s="141">
        <f>'휴가대장 관리용'!M82</f>
        <v>0</v>
      </c>
      <c r="J87" s="141">
        <f>'휴가대장 관리용'!N82</f>
        <v>0</v>
      </c>
      <c r="K87" s="141">
        <f>'휴가대장 관리용'!O82</f>
        <v>0</v>
      </c>
      <c r="L87" s="141">
        <f>'휴가대장 관리용'!P82</f>
        <v>0</v>
      </c>
      <c r="M87" s="141">
        <f>'휴가대장 관리용'!Q82</f>
        <v>0</v>
      </c>
      <c r="N87" s="141">
        <f>'휴가대장 관리용'!R82</f>
        <v>0</v>
      </c>
      <c r="O87" s="141">
        <f>'휴가대장 관리용'!S82</f>
        <v>0</v>
      </c>
      <c r="P87" s="141">
        <f>'휴가대장 관리용'!T82</f>
        <v>0</v>
      </c>
      <c r="Q87" s="141">
        <f>'휴가대장 관리용'!U82</f>
        <v>0</v>
      </c>
      <c r="R87" s="142">
        <f>'휴가대장 관리용'!V82</f>
        <v>0</v>
      </c>
    </row>
    <row r="88" spans="1:18" ht="32.1" customHeight="1" x14ac:dyDescent="0.4">
      <c r="A88" s="158">
        <v>76</v>
      </c>
      <c r="B88" s="89">
        <f>'휴가대장 관리용'!C83</f>
        <v>0</v>
      </c>
      <c r="C88" s="130" t="str">
        <f>'휴가대장 관리용'!D83</f>
        <v>-</v>
      </c>
      <c r="D88" s="137">
        <f>'휴가대장 관리용'!H83</f>
        <v>0</v>
      </c>
      <c r="E88" s="138">
        <f>'휴가대장 관리용'!I83</f>
        <v>0</v>
      </c>
      <c r="F88" s="139">
        <f>'휴가대장 관리용'!J83</f>
        <v>0</v>
      </c>
      <c r="G88" s="140">
        <f>'휴가대장 관리용'!K83</f>
        <v>0</v>
      </c>
      <c r="H88" s="141">
        <f>'휴가대장 관리용'!L83</f>
        <v>0</v>
      </c>
      <c r="I88" s="141">
        <f>'휴가대장 관리용'!M83</f>
        <v>0</v>
      </c>
      <c r="J88" s="141">
        <f>'휴가대장 관리용'!N83</f>
        <v>0</v>
      </c>
      <c r="K88" s="141">
        <f>'휴가대장 관리용'!O83</f>
        <v>0</v>
      </c>
      <c r="L88" s="141">
        <f>'휴가대장 관리용'!P83</f>
        <v>0</v>
      </c>
      <c r="M88" s="141">
        <f>'휴가대장 관리용'!Q83</f>
        <v>0</v>
      </c>
      <c r="N88" s="141">
        <f>'휴가대장 관리용'!R83</f>
        <v>0</v>
      </c>
      <c r="O88" s="141">
        <f>'휴가대장 관리용'!S83</f>
        <v>0</v>
      </c>
      <c r="P88" s="141">
        <f>'휴가대장 관리용'!T83</f>
        <v>0</v>
      </c>
      <c r="Q88" s="141">
        <f>'휴가대장 관리용'!U83</f>
        <v>0</v>
      </c>
      <c r="R88" s="142">
        <f>'휴가대장 관리용'!V83</f>
        <v>0</v>
      </c>
    </row>
    <row r="89" spans="1:18" ht="32.1" customHeight="1" x14ac:dyDescent="0.4">
      <c r="A89" s="158">
        <v>77</v>
      </c>
      <c r="B89" s="89">
        <f>'휴가대장 관리용'!C84</f>
        <v>0</v>
      </c>
      <c r="C89" s="130" t="str">
        <f>'휴가대장 관리용'!D84</f>
        <v>-</v>
      </c>
      <c r="D89" s="137">
        <f>'휴가대장 관리용'!H84</f>
        <v>0</v>
      </c>
      <c r="E89" s="138">
        <f>'휴가대장 관리용'!I84</f>
        <v>0</v>
      </c>
      <c r="F89" s="139">
        <f>'휴가대장 관리용'!J84</f>
        <v>0</v>
      </c>
      <c r="G89" s="140">
        <f>'휴가대장 관리용'!K84</f>
        <v>0</v>
      </c>
      <c r="H89" s="141">
        <f>'휴가대장 관리용'!L84</f>
        <v>0</v>
      </c>
      <c r="I89" s="141">
        <f>'휴가대장 관리용'!M84</f>
        <v>0</v>
      </c>
      <c r="J89" s="141">
        <f>'휴가대장 관리용'!N84</f>
        <v>0</v>
      </c>
      <c r="K89" s="141">
        <f>'휴가대장 관리용'!O84</f>
        <v>0</v>
      </c>
      <c r="L89" s="141">
        <f>'휴가대장 관리용'!P84</f>
        <v>0</v>
      </c>
      <c r="M89" s="141">
        <f>'휴가대장 관리용'!Q84</f>
        <v>0</v>
      </c>
      <c r="N89" s="141">
        <f>'휴가대장 관리용'!R84</f>
        <v>0</v>
      </c>
      <c r="O89" s="141">
        <f>'휴가대장 관리용'!S84</f>
        <v>0</v>
      </c>
      <c r="P89" s="141">
        <f>'휴가대장 관리용'!T84</f>
        <v>0</v>
      </c>
      <c r="Q89" s="141">
        <f>'휴가대장 관리용'!U84</f>
        <v>0</v>
      </c>
      <c r="R89" s="142">
        <f>'휴가대장 관리용'!V84</f>
        <v>0</v>
      </c>
    </row>
    <row r="90" spans="1:18" ht="32.1" customHeight="1" x14ac:dyDescent="0.4">
      <c r="A90" s="158">
        <v>78</v>
      </c>
      <c r="B90" s="89">
        <f>'휴가대장 관리용'!C85</f>
        <v>0</v>
      </c>
      <c r="C90" s="130" t="str">
        <f>'휴가대장 관리용'!D85</f>
        <v>-</v>
      </c>
      <c r="D90" s="137">
        <f>'휴가대장 관리용'!H85</f>
        <v>0</v>
      </c>
      <c r="E90" s="138">
        <f>'휴가대장 관리용'!I85</f>
        <v>0</v>
      </c>
      <c r="F90" s="139">
        <f>'휴가대장 관리용'!J85</f>
        <v>0</v>
      </c>
      <c r="G90" s="140">
        <f>'휴가대장 관리용'!K85</f>
        <v>0</v>
      </c>
      <c r="H90" s="141">
        <f>'휴가대장 관리용'!L85</f>
        <v>0</v>
      </c>
      <c r="I90" s="141">
        <f>'휴가대장 관리용'!M85</f>
        <v>0</v>
      </c>
      <c r="J90" s="141">
        <f>'휴가대장 관리용'!N85</f>
        <v>0</v>
      </c>
      <c r="K90" s="141">
        <f>'휴가대장 관리용'!O85</f>
        <v>0</v>
      </c>
      <c r="L90" s="141">
        <f>'휴가대장 관리용'!P85</f>
        <v>0</v>
      </c>
      <c r="M90" s="141">
        <f>'휴가대장 관리용'!Q85</f>
        <v>0</v>
      </c>
      <c r="N90" s="141">
        <f>'휴가대장 관리용'!R85</f>
        <v>0</v>
      </c>
      <c r="O90" s="141">
        <f>'휴가대장 관리용'!S85</f>
        <v>0</v>
      </c>
      <c r="P90" s="141">
        <f>'휴가대장 관리용'!T85</f>
        <v>0</v>
      </c>
      <c r="Q90" s="141">
        <f>'휴가대장 관리용'!U85</f>
        <v>0</v>
      </c>
      <c r="R90" s="142">
        <f>'휴가대장 관리용'!V85</f>
        <v>0</v>
      </c>
    </row>
    <row r="91" spans="1:18" ht="32.1" customHeight="1" x14ac:dyDescent="0.4">
      <c r="A91" s="158">
        <v>79</v>
      </c>
      <c r="B91" s="89">
        <f>'휴가대장 관리용'!C86</f>
        <v>0</v>
      </c>
      <c r="C91" s="130" t="str">
        <f>'휴가대장 관리용'!D86</f>
        <v>-</v>
      </c>
      <c r="D91" s="137">
        <f>'휴가대장 관리용'!H86</f>
        <v>0</v>
      </c>
      <c r="E91" s="138">
        <f>'휴가대장 관리용'!I86</f>
        <v>0</v>
      </c>
      <c r="F91" s="139">
        <f>'휴가대장 관리용'!J86</f>
        <v>0</v>
      </c>
      <c r="G91" s="140">
        <f>'휴가대장 관리용'!K86</f>
        <v>0</v>
      </c>
      <c r="H91" s="141">
        <f>'휴가대장 관리용'!L86</f>
        <v>0</v>
      </c>
      <c r="I91" s="141">
        <f>'휴가대장 관리용'!M86</f>
        <v>0</v>
      </c>
      <c r="J91" s="141">
        <f>'휴가대장 관리용'!N86</f>
        <v>0</v>
      </c>
      <c r="K91" s="141">
        <f>'휴가대장 관리용'!O86</f>
        <v>0</v>
      </c>
      <c r="L91" s="141">
        <f>'휴가대장 관리용'!P86</f>
        <v>0</v>
      </c>
      <c r="M91" s="141">
        <f>'휴가대장 관리용'!Q86</f>
        <v>0</v>
      </c>
      <c r="N91" s="141">
        <f>'휴가대장 관리용'!R86</f>
        <v>0</v>
      </c>
      <c r="O91" s="141">
        <f>'휴가대장 관리용'!S86</f>
        <v>0</v>
      </c>
      <c r="P91" s="141">
        <f>'휴가대장 관리용'!T86</f>
        <v>0</v>
      </c>
      <c r="Q91" s="141">
        <f>'휴가대장 관리용'!U86</f>
        <v>0</v>
      </c>
      <c r="R91" s="142">
        <f>'휴가대장 관리용'!V86</f>
        <v>0</v>
      </c>
    </row>
    <row r="92" spans="1:18" ht="32.1" customHeight="1" x14ac:dyDescent="0.4">
      <c r="A92" s="158">
        <v>80</v>
      </c>
      <c r="B92" s="89">
        <f>'휴가대장 관리용'!C87</f>
        <v>0</v>
      </c>
      <c r="C92" s="130" t="str">
        <f>'휴가대장 관리용'!D87</f>
        <v>-</v>
      </c>
      <c r="D92" s="137">
        <f>'휴가대장 관리용'!H87</f>
        <v>0</v>
      </c>
      <c r="E92" s="138">
        <f>'휴가대장 관리용'!I87</f>
        <v>0</v>
      </c>
      <c r="F92" s="139">
        <f>'휴가대장 관리용'!J87</f>
        <v>0</v>
      </c>
      <c r="G92" s="140">
        <f>'휴가대장 관리용'!K87</f>
        <v>0</v>
      </c>
      <c r="H92" s="141">
        <f>'휴가대장 관리용'!L87</f>
        <v>0</v>
      </c>
      <c r="I92" s="141">
        <f>'휴가대장 관리용'!M87</f>
        <v>0</v>
      </c>
      <c r="J92" s="141">
        <f>'휴가대장 관리용'!N87</f>
        <v>0</v>
      </c>
      <c r="K92" s="141">
        <f>'휴가대장 관리용'!O87</f>
        <v>0</v>
      </c>
      <c r="L92" s="141">
        <f>'휴가대장 관리용'!P87</f>
        <v>0</v>
      </c>
      <c r="M92" s="141">
        <f>'휴가대장 관리용'!Q87</f>
        <v>0</v>
      </c>
      <c r="N92" s="141">
        <f>'휴가대장 관리용'!R87</f>
        <v>0</v>
      </c>
      <c r="O92" s="141">
        <f>'휴가대장 관리용'!S87</f>
        <v>0</v>
      </c>
      <c r="P92" s="141">
        <f>'휴가대장 관리용'!T87</f>
        <v>0</v>
      </c>
      <c r="Q92" s="141">
        <f>'휴가대장 관리용'!U87</f>
        <v>0</v>
      </c>
      <c r="R92" s="142">
        <f>'휴가대장 관리용'!V87</f>
        <v>0</v>
      </c>
    </row>
    <row r="93" spans="1:18" ht="32.1" customHeight="1" x14ac:dyDescent="0.4">
      <c r="A93" s="158">
        <v>81</v>
      </c>
      <c r="B93" s="89">
        <f>'휴가대장 관리용'!C88</f>
        <v>0</v>
      </c>
      <c r="C93" s="130" t="str">
        <f>'휴가대장 관리용'!D88</f>
        <v>-</v>
      </c>
      <c r="D93" s="137">
        <f>'휴가대장 관리용'!H88</f>
        <v>0</v>
      </c>
      <c r="E93" s="138">
        <f>'휴가대장 관리용'!I88</f>
        <v>0</v>
      </c>
      <c r="F93" s="139">
        <f>'휴가대장 관리용'!J88</f>
        <v>0</v>
      </c>
      <c r="G93" s="140">
        <f>'휴가대장 관리용'!K88</f>
        <v>0</v>
      </c>
      <c r="H93" s="141">
        <f>'휴가대장 관리용'!L88</f>
        <v>0</v>
      </c>
      <c r="I93" s="141">
        <f>'휴가대장 관리용'!M88</f>
        <v>0</v>
      </c>
      <c r="J93" s="141">
        <f>'휴가대장 관리용'!N88</f>
        <v>0</v>
      </c>
      <c r="K93" s="141">
        <f>'휴가대장 관리용'!O88</f>
        <v>0</v>
      </c>
      <c r="L93" s="141">
        <f>'휴가대장 관리용'!P88</f>
        <v>0</v>
      </c>
      <c r="M93" s="141">
        <f>'휴가대장 관리용'!Q88</f>
        <v>0</v>
      </c>
      <c r="N93" s="141">
        <f>'휴가대장 관리용'!R88</f>
        <v>0</v>
      </c>
      <c r="O93" s="141">
        <f>'휴가대장 관리용'!S88</f>
        <v>0</v>
      </c>
      <c r="P93" s="141">
        <f>'휴가대장 관리용'!T88</f>
        <v>0</v>
      </c>
      <c r="Q93" s="141">
        <f>'휴가대장 관리용'!U88</f>
        <v>0</v>
      </c>
      <c r="R93" s="142">
        <f>'휴가대장 관리용'!V88</f>
        <v>0</v>
      </c>
    </row>
    <row r="94" spans="1:18" ht="32.1" customHeight="1" x14ac:dyDescent="0.4">
      <c r="A94" s="158">
        <v>82</v>
      </c>
      <c r="B94" s="89">
        <f>'휴가대장 관리용'!C89</f>
        <v>0</v>
      </c>
      <c r="C94" s="130" t="str">
        <f>'휴가대장 관리용'!D89</f>
        <v>-</v>
      </c>
      <c r="D94" s="137">
        <f>'휴가대장 관리용'!H89</f>
        <v>0</v>
      </c>
      <c r="E94" s="138">
        <f>'휴가대장 관리용'!I89</f>
        <v>0</v>
      </c>
      <c r="F94" s="139">
        <f>'휴가대장 관리용'!J89</f>
        <v>0</v>
      </c>
      <c r="G94" s="140">
        <f>'휴가대장 관리용'!K89</f>
        <v>0</v>
      </c>
      <c r="H94" s="141">
        <f>'휴가대장 관리용'!L89</f>
        <v>0</v>
      </c>
      <c r="I94" s="141">
        <f>'휴가대장 관리용'!M89</f>
        <v>0</v>
      </c>
      <c r="J94" s="141">
        <f>'휴가대장 관리용'!N89</f>
        <v>0</v>
      </c>
      <c r="K94" s="141">
        <f>'휴가대장 관리용'!O89</f>
        <v>0</v>
      </c>
      <c r="L94" s="141">
        <f>'휴가대장 관리용'!P89</f>
        <v>0</v>
      </c>
      <c r="M94" s="141">
        <f>'휴가대장 관리용'!Q89</f>
        <v>0</v>
      </c>
      <c r="N94" s="141">
        <f>'휴가대장 관리용'!R89</f>
        <v>0</v>
      </c>
      <c r="O94" s="141">
        <f>'휴가대장 관리용'!S89</f>
        <v>0</v>
      </c>
      <c r="P94" s="141">
        <f>'휴가대장 관리용'!T89</f>
        <v>0</v>
      </c>
      <c r="Q94" s="141">
        <f>'휴가대장 관리용'!U89</f>
        <v>0</v>
      </c>
      <c r="R94" s="142">
        <f>'휴가대장 관리용'!V89</f>
        <v>0</v>
      </c>
    </row>
    <row r="95" spans="1:18" ht="32.1" customHeight="1" x14ac:dyDescent="0.4">
      <c r="A95" s="158">
        <v>83</v>
      </c>
      <c r="B95" s="89">
        <f>'휴가대장 관리용'!C90</f>
        <v>0</v>
      </c>
      <c r="C95" s="130" t="str">
        <f>'휴가대장 관리용'!D90</f>
        <v>-</v>
      </c>
      <c r="D95" s="137">
        <f>'휴가대장 관리용'!H90</f>
        <v>0</v>
      </c>
      <c r="E95" s="138">
        <f>'휴가대장 관리용'!I90</f>
        <v>0</v>
      </c>
      <c r="F95" s="139">
        <f>'휴가대장 관리용'!J90</f>
        <v>0</v>
      </c>
      <c r="G95" s="140">
        <f>'휴가대장 관리용'!K90</f>
        <v>0</v>
      </c>
      <c r="H95" s="141">
        <f>'휴가대장 관리용'!L90</f>
        <v>0</v>
      </c>
      <c r="I95" s="141">
        <f>'휴가대장 관리용'!M90</f>
        <v>0</v>
      </c>
      <c r="J95" s="141">
        <f>'휴가대장 관리용'!N90</f>
        <v>0</v>
      </c>
      <c r="K95" s="141">
        <f>'휴가대장 관리용'!O90</f>
        <v>0</v>
      </c>
      <c r="L95" s="141">
        <f>'휴가대장 관리용'!P90</f>
        <v>0</v>
      </c>
      <c r="M95" s="141">
        <f>'휴가대장 관리용'!Q90</f>
        <v>0</v>
      </c>
      <c r="N95" s="141">
        <f>'휴가대장 관리용'!R90</f>
        <v>0</v>
      </c>
      <c r="O95" s="141">
        <f>'휴가대장 관리용'!S90</f>
        <v>0</v>
      </c>
      <c r="P95" s="141">
        <f>'휴가대장 관리용'!T90</f>
        <v>0</v>
      </c>
      <c r="Q95" s="141">
        <f>'휴가대장 관리용'!U90</f>
        <v>0</v>
      </c>
      <c r="R95" s="142">
        <f>'휴가대장 관리용'!V90</f>
        <v>0</v>
      </c>
    </row>
    <row r="96" spans="1:18" ht="32.1" customHeight="1" x14ac:dyDescent="0.4">
      <c r="A96" s="158">
        <v>84</v>
      </c>
      <c r="B96" s="89">
        <f>'휴가대장 관리용'!C91</f>
        <v>0</v>
      </c>
      <c r="C96" s="130" t="str">
        <f>'휴가대장 관리용'!D91</f>
        <v>-</v>
      </c>
      <c r="D96" s="137">
        <f>'휴가대장 관리용'!H91</f>
        <v>0</v>
      </c>
      <c r="E96" s="138">
        <f>'휴가대장 관리용'!I91</f>
        <v>0</v>
      </c>
      <c r="F96" s="139">
        <f>'휴가대장 관리용'!J91</f>
        <v>0</v>
      </c>
      <c r="G96" s="140">
        <f>'휴가대장 관리용'!K91</f>
        <v>0</v>
      </c>
      <c r="H96" s="141">
        <f>'휴가대장 관리용'!L91</f>
        <v>0</v>
      </c>
      <c r="I96" s="141">
        <f>'휴가대장 관리용'!M91</f>
        <v>0</v>
      </c>
      <c r="J96" s="141">
        <f>'휴가대장 관리용'!N91</f>
        <v>0</v>
      </c>
      <c r="K96" s="141">
        <f>'휴가대장 관리용'!O91</f>
        <v>0</v>
      </c>
      <c r="L96" s="141">
        <f>'휴가대장 관리용'!P91</f>
        <v>0</v>
      </c>
      <c r="M96" s="141">
        <f>'휴가대장 관리용'!Q91</f>
        <v>0</v>
      </c>
      <c r="N96" s="141">
        <f>'휴가대장 관리용'!R91</f>
        <v>0</v>
      </c>
      <c r="O96" s="141">
        <f>'휴가대장 관리용'!S91</f>
        <v>0</v>
      </c>
      <c r="P96" s="141">
        <f>'휴가대장 관리용'!T91</f>
        <v>0</v>
      </c>
      <c r="Q96" s="141">
        <f>'휴가대장 관리용'!U91</f>
        <v>0</v>
      </c>
      <c r="R96" s="142">
        <f>'휴가대장 관리용'!V91</f>
        <v>0</v>
      </c>
    </row>
    <row r="97" spans="1:18" ht="32.1" customHeight="1" x14ac:dyDescent="0.4">
      <c r="A97" s="158">
        <v>85</v>
      </c>
      <c r="B97" s="89">
        <f>'휴가대장 관리용'!C92</f>
        <v>0</v>
      </c>
      <c r="C97" s="130" t="str">
        <f>'휴가대장 관리용'!D92</f>
        <v>-</v>
      </c>
      <c r="D97" s="137">
        <f>'휴가대장 관리용'!H92</f>
        <v>0</v>
      </c>
      <c r="E97" s="138">
        <f>'휴가대장 관리용'!I92</f>
        <v>0</v>
      </c>
      <c r="F97" s="139">
        <f>'휴가대장 관리용'!J92</f>
        <v>0</v>
      </c>
      <c r="G97" s="140">
        <f>'휴가대장 관리용'!K92</f>
        <v>0</v>
      </c>
      <c r="H97" s="141">
        <f>'휴가대장 관리용'!L92</f>
        <v>0</v>
      </c>
      <c r="I97" s="141">
        <f>'휴가대장 관리용'!M92</f>
        <v>0</v>
      </c>
      <c r="J97" s="141">
        <f>'휴가대장 관리용'!N92</f>
        <v>0</v>
      </c>
      <c r="K97" s="141">
        <f>'휴가대장 관리용'!O92</f>
        <v>0</v>
      </c>
      <c r="L97" s="141">
        <f>'휴가대장 관리용'!P92</f>
        <v>0</v>
      </c>
      <c r="M97" s="141">
        <f>'휴가대장 관리용'!Q92</f>
        <v>0</v>
      </c>
      <c r="N97" s="141">
        <f>'휴가대장 관리용'!R92</f>
        <v>0</v>
      </c>
      <c r="O97" s="141">
        <f>'휴가대장 관리용'!S92</f>
        <v>0</v>
      </c>
      <c r="P97" s="141">
        <f>'휴가대장 관리용'!T92</f>
        <v>0</v>
      </c>
      <c r="Q97" s="141">
        <f>'휴가대장 관리용'!U92</f>
        <v>0</v>
      </c>
      <c r="R97" s="142">
        <f>'휴가대장 관리용'!V92</f>
        <v>0</v>
      </c>
    </row>
    <row r="98" spans="1:18" ht="32.1" customHeight="1" x14ac:dyDescent="0.4">
      <c r="A98" s="158">
        <v>86</v>
      </c>
      <c r="B98" s="89">
        <f>'휴가대장 관리용'!C93</f>
        <v>0</v>
      </c>
      <c r="C98" s="130" t="str">
        <f>'휴가대장 관리용'!D93</f>
        <v>-</v>
      </c>
      <c r="D98" s="137">
        <f>'휴가대장 관리용'!H93</f>
        <v>0</v>
      </c>
      <c r="E98" s="138">
        <f>'휴가대장 관리용'!I93</f>
        <v>0</v>
      </c>
      <c r="F98" s="139">
        <f>'휴가대장 관리용'!J93</f>
        <v>0</v>
      </c>
      <c r="G98" s="140">
        <f>'휴가대장 관리용'!K93</f>
        <v>0</v>
      </c>
      <c r="H98" s="141">
        <f>'휴가대장 관리용'!L93</f>
        <v>0</v>
      </c>
      <c r="I98" s="141">
        <f>'휴가대장 관리용'!M93</f>
        <v>0</v>
      </c>
      <c r="J98" s="141">
        <f>'휴가대장 관리용'!N93</f>
        <v>0</v>
      </c>
      <c r="K98" s="141">
        <f>'휴가대장 관리용'!O93</f>
        <v>0</v>
      </c>
      <c r="L98" s="141">
        <f>'휴가대장 관리용'!P93</f>
        <v>0</v>
      </c>
      <c r="M98" s="141">
        <f>'휴가대장 관리용'!Q93</f>
        <v>0</v>
      </c>
      <c r="N98" s="141">
        <f>'휴가대장 관리용'!R93</f>
        <v>0</v>
      </c>
      <c r="O98" s="141">
        <f>'휴가대장 관리용'!S93</f>
        <v>0</v>
      </c>
      <c r="P98" s="141">
        <f>'휴가대장 관리용'!T93</f>
        <v>0</v>
      </c>
      <c r="Q98" s="141">
        <f>'휴가대장 관리용'!U93</f>
        <v>0</v>
      </c>
      <c r="R98" s="142">
        <f>'휴가대장 관리용'!V93</f>
        <v>0</v>
      </c>
    </row>
    <row r="99" spans="1:18" ht="32.1" customHeight="1" x14ac:dyDescent="0.4">
      <c r="A99" s="158">
        <v>87</v>
      </c>
      <c r="B99" s="89">
        <f>'휴가대장 관리용'!C94</f>
        <v>0</v>
      </c>
      <c r="C99" s="130" t="str">
        <f>'휴가대장 관리용'!D94</f>
        <v>-</v>
      </c>
      <c r="D99" s="137">
        <f>'휴가대장 관리용'!H94</f>
        <v>0</v>
      </c>
      <c r="E99" s="138">
        <f>'휴가대장 관리용'!I94</f>
        <v>0</v>
      </c>
      <c r="F99" s="139">
        <f>'휴가대장 관리용'!J94</f>
        <v>0</v>
      </c>
      <c r="G99" s="140">
        <f>'휴가대장 관리용'!K94</f>
        <v>0</v>
      </c>
      <c r="H99" s="141">
        <f>'휴가대장 관리용'!L94</f>
        <v>0</v>
      </c>
      <c r="I99" s="141">
        <f>'휴가대장 관리용'!M94</f>
        <v>0</v>
      </c>
      <c r="J99" s="141">
        <f>'휴가대장 관리용'!N94</f>
        <v>0</v>
      </c>
      <c r="K99" s="141">
        <f>'휴가대장 관리용'!O94</f>
        <v>0</v>
      </c>
      <c r="L99" s="141">
        <f>'휴가대장 관리용'!P94</f>
        <v>0</v>
      </c>
      <c r="M99" s="141">
        <f>'휴가대장 관리용'!Q94</f>
        <v>0</v>
      </c>
      <c r="N99" s="141">
        <f>'휴가대장 관리용'!R94</f>
        <v>0</v>
      </c>
      <c r="O99" s="141">
        <f>'휴가대장 관리용'!S94</f>
        <v>0</v>
      </c>
      <c r="P99" s="141">
        <f>'휴가대장 관리용'!T94</f>
        <v>0</v>
      </c>
      <c r="Q99" s="141">
        <f>'휴가대장 관리용'!U94</f>
        <v>0</v>
      </c>
      <c r="R99" s="142">
        <f>'휴가대장 관리용'!V94</f>
        <v>0</v>
      </c>
    </row>
    <row r="100" spans="1:18" ht="32.1" customHeight="1" x14ac:dyDescent="0.4">
      <c r="A100" s="158">
        <v>88</v>
      </c>
      <c r="B100" s="89">
        <f>'휴가대장 관리용'!C95</f>
        <v>0</v>
      </c>
      <c r="C100" s="130" t="str">
        <f>'휴가대장 관리용'!D95</f>
        <v>-</v>
      </c>
      <c r="D100" s="137">
        <f>'휴가대장 관리용'!H95</f>
        <v>0</v>
      </c>
      <c r="E100" s="138">
        <f>'휴가대장 관리용'!I95</f>
        <v>0</v>
      </c>
      <c r="F100" s="139">
        <f>'휴가대장 관리용'!J95</f>
        <v>0</v>
      </c>
      <c r="G100" s="140">
        <f>'휴가대장 관리용'!K95</f>
        <v>0</v>
      </c>
      <c r="H100" s="141">
        <f>'휴가대장 관리용'!L95</f>
        <v>0</v>
      </c>
      <c r="I100" s="141">
        <f>'휴가대장 관리용'!M95</f>
        <v>0</v>
      </c>
      <c r="J100" s="141">
        <f>'휴가대장 관리용'!N95</f>
        <v>0</v>
      </c>
      <c r="K100" s="141">
        <f>'휴가대장 관리용'!O95</f>
        <v>0</v>
      </c>
      <c r="L100" s="141">
        <f>'휴가대장 관리용'!P95</f>
        <v>0</v>
      </c>
      <c r="M100" s="141">
        <f>'휴가대장 관리용'!Q95</f>
        <v>0</v>
      </c>
      <c r="N100" s="141">
        <f>'휴가대장 관리용'!R95</f>
        <v>0</v>
      </c>
      <c r="O100" s="141">
        <f>'휴가대장 관리용'!S95</f>
        <v>0</v>
      </c>
      <c r="P100" s="141">
        <f>'휴가대장 관리용'!T95</f>
        <v>0</v>
      </c>
      <c r="Q100" s="141">
        <f>'휴가대장 관리용'!U95</f>
        <v>0</v>
      </c>
      <c r="R100" s="142">
        <f>'휴가대장 관리용'!V95</f>
        <v>0</v>
      </c>
    </row>
    <row r="101" spans="1:18" ht="32.1" customHeight="1" x14ac:dyDescent="0.4">
      <c r="A101" s="158">
        <v>89</v>
      </c>
      <c r="B101" s="89">
        <f>'휴가대장 관리용'!C96</f>
        <v>0</v>
      </c>
      <c r="C101" s="130" t="str">
        <f>'휴가대장 관리용'!D96</f>
        <v>-</v>
      </c>
      <c r="D101" s="137">
        <f>'휴가대장 관리용'!H96</f>
        <v>0</v>
      </c>
      <c r="E101" s="138">
        <f>'휴가대장 관리용'!I96</f>
        <v>0</v>
      </c>
      <c r="F101" s="139">
        <f>'휴가대장 관리용'!J96</f>
        <v>0</v>
      </c>
      <c r="G101" s="140">
        <f>'휴가대장 관리용'!K96</f>
        <v>0</v>
      </c>
      <c r="H101" s="141">
        <f>'휴가대장 관리용'!L96</f>
        <v>0</v>
      </c>
      <c r="I101" s="141">
        <f>'휴가대장 관리용'!M96</f>
        <v>0</v>
      </c>
      <c r="J101" s="141">
        <f>'휴가대장 관리용'!N96</f>
        <v>0</v>
      </c>
      <c r="K101" s="141">
        <f>'휴가대장 관리용'!O96</f>
        <v>0</v>
      </c>
      <c r="L101" s="141">
        <f>'휴가대장 관리용'!P96</f>
        <v>0</v>
      </c>
      <c r="M101" s="141">
        <f>'휴가대장 관리용'!Q96</f>
        <v>0</v>
      </c>
      <c r="N101" s="141">
        <f>'휴가대장 관리용'!R96</f>
        <v>0</v>
      </c>
      <c r="O101" s="141">
        <f>'휴가대장 관리용'!S96</f>
        <v>0</v>
      </c>
      <c r="P101" s="141">
        <f>'휴가대장 관리용'!T96</f>
        <v>0</v>
      </c>
      <c r="Q101" s="141">
        <f>'휴가대장 관리용'!U96</f>
        <v>0</v>
      </c>
      <c r="R101" s="142">
        <f>'휴가대장 관리용'!V96</f>
        <v>0</v>
      </c>
    </row>
    <row r="102" spans="1:18" ht="32.1" customHeight="1" x14ac:dyDescent="0.4">
      <c r="A102" s="158">
        <v>90</v>
      </c>
      <c r="B102" s="89">
        <f>'휴가대장 관리용'!C97</f>
        <v>0</v>
      </c>
      <c r="C102" s="130" t="str">
        <f>'휴가대장 관리용'!D97</f>
        <v>-</v>
      </c>
      <c r="D102" s="137">
        <f>'휴가대장 관리용'!H97</f>
        <v>0</v>
      </c>
      <c r="E102" s="138">
        <f>'휴가대장 관리용'!I97</f>
        <v>0</v>
      </c>
      <c r="F102" s="139">
        <f>'휴가대장 관리용'!J97</f>
        <v>0</v>
      </c>
      <c r="G102" s="140">
        <f>'휴가대장 관리용'!K97</f>
        <v>0</v>
      </c>
      <c r="H102" s="141">
        <f>'휴가대장 관리용'!L97</f>
        <v>0</v>
      </c>
      <c r="I102" s="141">
        <f>'휴가대장 관리용'!M97</f>
        <v>0</v>
      </c>
      <c r="J102" s="141">
        <f>'휴가대장 관리용'!N97</f>
        <v>0</v>
      </c>
      <c r="K102" s="141">
        <f>'휴가대장 관리용'!O97</f>
        <v>0</v>
      </c>
      <c r="L102" s="141">
        <f>'휴가대장 관리용'!P97</f>
        <v>0</v>
      </c>
      <c r="M102" s="141">
        <f>'휴가대장 관리용'!Q97</f>
        <v>0</v>
      </c>
      <c r="N102" s="141">
        <f>'휴가대장 관리용'!R97</f>
        <v>0</v>
      </c>
      <c r="O102" s="141">
        <f>'휴가대장 관리용'!S97</f>
        <v>0</v>
      </c>
      <c r="P102" s="141">
        <f>'휴가대장 관리용'!T97</f>
        <v>0</v>
      </c>
      <c r="Q102" s="141">
        <f>'휴가대장 관리용'!U97</f>
        <v>0</v>
      </c>
      <c r="R102" s="142">
        <f>'휴가대장 관리용'!V97</f>
        <v>0</v>
      </c>
    </row>
    <row r="103" spans="1:18" ht="32.1" customHeight="1" x14ac:dyDescent="0.4">
      <c r="A103" s="158">
        <v>91</v>
      </c>
      <c r="B103" s="89">
        <f>'휴가대장 관리용'!C98</f>
        <v>0</v>
      </c>
      <c r="C103" s="130" t="str">
        <f>'휴가대장 관리용'!D98</f>
        <v>-</v>
      </c>
      <c r="D103" s="137">
        <f>'휴가대장 관리용'!H98</f>
        <v>0</v>
      </c>
      <c r="E103" s="138">
        <f>'휴가대장 관리용'!I98</f>
        <v>0</v>
      </c>
      <c r="F103" s="139">
        <f>'휴가대장 관리용'!J98</f>
        <v>0</v>
      </c>
      <c r="G103" s="140">
        <f>'휴가대장 관리용'!K98</f>
        <v>0</v>
      </c>
      <c r="H103" s="141">
        <f>'휴가대장 관리용'!L98</f>
        <v>0</v>
      </c>
      <c r="I103" s="141">
        <f>'휴가대장 관리용'!M98</f>
        <v>0</v>
      </c>
      <c r="J103" s="141">
        <f>'휴가대장 관리용'!N98</f>
        <v>0</v>
      </c>
      <c r="K103" s="141">
        <f>'휴가대장 관리용'!O98</f>
        <v>0</v>
      </c>
      <c r="L103" s="141">
        <f>'휴가대장 관리용'!P98</f>
        <v>0</v>
      </c>
      <c r="M103" s="141">
        <f>'휴가대장 관리용'!Q98</f>
        <v>0</v>
      </c>
      <c r="N103" s="141">
        <f>'휴가대장 관리용'!R98</f>
        <v>0</v>
      </c>
      <c r="O103" s="141">
        <f>'휴가대장 관리용'!S98</f>
        <v>0</v>
      </c>
      <c r="P103" s="141">
        <f>'휴가대장 관리용'!T98</f>
        <v>0</v>
      </c>
      <c r="Q103" s="141">
        <f>'휴가대장 관리용'!U98</f>
        <v>0</v>
      </c>
      <c r="R103" s="142">
        <f>'휴가대장 관리용'!V98</f>
        <v>0</v>
      </c>
    </row>
    <row r="104" spans="1:18" ht="32.1" customHeight="1" x14ac:dyDescent="0.4">
      <c r="A104" s="158">
        <v>92</v>
      </c>
      <c r="B104" s="89">
        <f>'휴가대장 관리용'!C99</f>
        <v>0</v>
      </c>
      <c r="C104" s="130" t="str">
        <f>'휴가대장 관리용'!D99</f>
        <v>-</v>
      </c>
      <c r="D104" s="137">
        <f>'휴가대장 관리용'!H99</f>
        <v>0</v>
      </c>
      <c r="E104" s="138">
        <f>'휴가대장 관리용'!I99</f>
        <v>0</v>
      </c>
      <c r="F104" s="139">
        <f>'휴가대장 관리용'!J99</f>
        <v>0</v>
      </c>
      <c r="G104" s="140">
        <f>'휴가대장 관리용'!K99</f>
        <v>0</v>
      </c>
      <c r="H104" s="141">
        <f>'휴가대장 관리용'!L99</f>
        <v>0</v>
      </c>
      <c r="I104" s="141">
        <f>'휴가대장 관리용'!M99</f>
        <v>0</v>
      </c>
      <c r="J104" s="141">
        <f>'휴가대장 관리용'!N99</f>
        <v>0</v>
      </c>
      <c r="K104" s="141">
        <f>'휴가대장 관리용'!O99</f>
        <v>0</v>
      </c>
      <c r="L104" s="141">
        <f>'휴가대장 관리용'!P99</f>
        <v>0</v>
      </c>
      <c r="M104" s="141">
        <f>'휴가대장 관리용'!Q99</f>
        <v>0</v>
      </c>
      <c r="N104" s="141">
        <f>'휴가대장 관리용'!R99</f>
        <v>0</v>
      </c>
      <c r="O104" s="141">
        <f>'휴가대장 관리용'!S99</f>
        <v>0</v>
      </c>
      <c r="P104" s="141">
        <f>'휴가대장 관리용'!T99</f>
        <v>0</v>
      </c>
      <c r="Q104" s="141">
        <f>'휴가대장 관리용'!U99</f>
        <v>0</v>
      </c>
      <c r="R104" s="142">
        <f>'휴가대장 관리용'!V99</f>
        <v>0</v>
      </c>
    </row>
    <row r="105" spans="1:18" ht="32.1" customHeight="1" x14ac:dyDescent="0.4">
      <c r="A105" s="158">
        <v>93</v>
      </c>
      <c r="B105" s="89">
        <f>'휴가대장 관리용'!C100</f>
        <v>0</v>
      </c>
      <c r="C105" s="130" t="str">
        <f>'휴가대장 관리용'!D100</f>
        <v>-</v>
      </c>
      <c r="D105" s="137">
        <f>'휴가대장 관리용'!H100</f>
        <v>0</v>
      </c>
      <c r="E105" s="138">
        <f>'휴가대장 관리용'!I100</f>
        <v>0</v>
      </c>
      <c r="F105" s="139">
        <f>'휴가대장 관리용'!J100</f>
        <v>0</v>
      </c>
      <c r="G105" s="140">
        <f>'휴가대장 관리용'!K100</f>
        <v>0</v>
      </c>
      <c r="H105" s="141">
        <f>'휴가대장 관리용'!L100</f>
        <v>0</v>
      </c>
      <c r="I105" s="141">
        <f>'휴가대장 관리용'!M100</f>
        <v>0</v>
      </c>
      <c r="J105" s="141">
        <f>'휴가대장 관리용'!N100</f>
        <v>0</v>
      </c>
      <c r="K105" s="141">
        <f>'휴가대장 관리용'!O100</f>
        <v>0</v>
      </c>
      <c r="L105" s="141">
        <f>'휴가대장 관리용'!P100</f>
        <v>0</v>
      </c>
      <c r="M105" s="141">
        <f>'휴가대장 관리용'!Q100</f>
        <v>0</v>
      </c>
      <c r="N105" s="141">
        <f>'휴가대장 관리용'!R100</f>
        <v>0</v>
      </c>
      <c r="O105" s="141">
        <f>'휴가대장 관리용'!S100</f>
        <v>0</v>
      </c>
      <c r="P105" s="141">
        <f>'휴가대장 관리용'!T100</f>
        <v>0</v>
      </c>
      <c r="Q105" s="141">
        <f>'휴가대장 관리용'!U100</f>
        <v>0</v>
      </c>
      <c r="R105" s="142">
        <f>'휴가대장 관리용'!V100</f>
        <v>0</v>
      </c>
    </row>
    <row r="106" spans="1:18" ht="32.1" customHeight="1" x14ac:dyDescent="0.4">
      <c r="A106" s="158">
        <v>94</v>
      </c>
      <c r="B106" s="89">
        <f>'휴가대장 관리용'!C101</f>
        <v>0</v>
      </c>
      <c r="C106" s="130" t="str">
        <f>'휴가대장 관리용'!D101</f>
        <v>-</v>
      </c>
      <c r="D106" s="137">
        <f>'휴가대장 관리용'!H101</f>
        <v>0</v>
      </c>
      <c r="E106" s="138">
        <f>'휴가대장 관리용'!I101</f>
        <v>0</v>
      </c>
      <c r="F106" s="139">
        <f>'휴가대장 관리용'!J101</f>
        <v>0</v>
      </c>
      <c r="G106" s="140">
        <f>'휴가대장 관리용'!K101</f>
        <v>0</v>
      </c>
      <c r="H106" s="141">
        <f>'휴가대장 관리용'!L101</f>
        <v>0</v>
      </c>
      <c r="I106" s="141">
        <f>'휴가대장 관리용'!M101</f>
        <v>0</v>
      </c>
      <c r="J106" s="141">
        <f>'휴가대장 관리용'!N101</f>
        <v>0</v>
      </c>
      <c r="K106" s="141">
        <f>'휴가대장 관리용'!O101</f>
        <v>0</v>
      </c>
      <c r="L106" s="141">
        <f>'휴가대장 관리용'!P101</f>
        <v>0</v>
      </c>
      <c r="M106" s="141">
        <f>'휴가대장 관리용'!Q101</f>
        <v>0</v>
      </c>
      <c r="N106" s="141">
        <f>'휴가대장 관리용'!R101</f>
        <v>0</v>
      </c>
      <c r="O106" s="141">
        <f>'휴가대장 관리용'!S101</f>
        <v>0</v>
      </c>
      <c r="P106" s="141">
        <f>'휴가대장 관리용'!T101</f>
        <v>0</v>
      </c>
      <c r="Q106" s="141">
        <f>'휴가대장 관리용'!U101</f>
        <v>0</v>
      </c>
      <c r="R106" s="142">
        <f>'휴가대장 관리용'!V101</f>
        <v>0</v>
      </c>
    </row>
    <row r="107" spans="1:18" ht="32.1" customHeight="1" x14ac:dyDescent="0.4">
      <c r="A107" s="158">
        <v>95</v>
      </c>
      <c r="B107" s="89">
        <f>'휴가대장 관리용'!C102</f>
        <v>0</v>
      </c>
      <c r="C107" s="130" t="str">
        <f>'휴가대장 관리용'!D102</f>
        <v>-</v>
      </c>
      <c r="D107" s="137">
        <f>'휴가대장 관리용'!H102</f>
        <v>0</v>
      </c>
      <c r="E107" s="138">
        <f>'휴가대장 관리용'!I102</f>
        <v>0</v>
      </c>
      <c r="F107" s="139">
        <f>'휴가대장 관리용'!J102</f>
        <v>0</v>
      </c>
      <c r="G107" s="140">
        <f>'휴가대장 관리용'!K102</f>
        <v>0</v>
      </c>
      <c r="H107" s="141">
        <f>'휴가대장 관리용'!L102</f>
        <v>0</v>
      </c>
      <c r="I107" s="141">
        <f>'휴가대장 관리용'!M102</f>
        <v>0</v>
      </c>
      <c r="J107" s="141">
        <f>'휴가대장 관리용'!N102</f>
        <v>0</v>
      </c>
      <c r="K107" s="141">
        <f>'휴가대장 관리용'!O102</f>
        <v>0</v>
      </c>
      <c r="L107" s="141">
        <f>'휴가대장 관리용'!P102</f>
        <v>0</v>
      </c>
      <c r="M107" s="141">
        <f>'휴가대장 관리용'!Q102</f>
        <v>0</v>
      </c>
      <c r="N107" s="141">
        <f>'휴가대장 관리용'!R102</f>
        <v>0</v>
      </c>
      <c r="O107" s="141">
        <f>'휴가대장 관리용'!S102</f>
        <v>0</v>
      </c>
      <c r="P107" s="141">
        <f>'휴가대장 관리용'!T102</f>
        <v>0</v>
      </c>
      <c r="Q107" s="141">
        <f>'휴가대장 관리용'!U102</f>
        <v>0</v>
      </c>
      <c r="R107" s="142">
        <f>'휴가대장 관리용'!V102</f>
        <v>0</v>
      </c>
    </row>
    <row r="108" spans="1:18" ht="32.1" customHeight="1" x14ac:dyDescent="0.4">
      <c r="A108" s="158">
        <v>96</v>
      </c>
      <c r="B108" s="89">
        <f>'휴가대장 관리용'!C103</f>
        <v>0</v>
      </c>
      <c r="C108" s="130" t="str">
        <f>'휴가대장 관리용'!D103</f>
        <v>-</v>
      </c>
      <c r="D108" s="137">
        <f>'휴가대장 관리용'!H103</f>
        <v>0</v>
      </c>
      <c r="E108" s="138">
        <f>'휴가대장 관리용'!I103</f>
        <v>0</v>
      </c>
      <c r="F108" s="139">
        <f>'휴가대장 관리용'!J103</f>
        <v>0</v>
      </c>
      <c r="G108" s="140">
        <f>'휴가대장 관리용'!K103</f>
        <v>0</v>
      </c>
      <c r="H108" s="141">
        <f>'휴가대장 관리용'!L103</f>
        <v>0</v>
      </c>
      <c r="I108" s="141">
        <f>'휴가대장 관리용'!M103</f>
        <v>0</v>
      </c>
      <c r="J108" s="141">
        <f>'휴가대장 관리용'!N103</f>
        <v>0</v>
      </c>
      <c r="K108" s="141">
        <f>'휴가대장 관리용'!O103</f>
        <v>0</v>
      </c>
      <c r="L108" s="141">
        <f>'휴가대장 관리용'!P103</f>
        <v>0</v>
      </c>
      <c r="M108" s="141">
        <f>'휴가대장 관리용'!Q103</f>
        <v>0</v>
      </c>
      <c r="N108" s="141">
        <f>'휴가대장 관리용'!R103</f>
        <v>0</v>
      </c>
      <c r="O108" s="141">
        <f>'휴가대장 관리용'!S103</f>
        <v>0</v>
      </c>
      <c r="P108" s="141">
        <f>'휴가대장 관리용'!T103</f>
        <v>0</v>
      </c>
      <c r="Q108" s="141">
        <f>'휴가대장 관리용'!U103</f>
        <v>0</v>
      </c>
      <c r="R108" s="142">
        <f>'휴가대장 관리용'!V103</f>
        <v>0</v>
      </c>
    </row>
    <row r="109" spans="1:18" ht="32.1" customHeight="1" x14ac:dyDescent="0.4">
      <c r="A109" s="158">
        <v>97</v>
      </c>
      <c r="B109" s="89">
        <f>'휴가대장 관리용'!C104</f>
        <v>0</v>
      </c>
      <c r="C109" s="130" t="str">
        <f>'휴가대장 관리용'!D104</f>
        <v>-</v>
      </c>
      <c r="D109" s="137">
        <f>'휴가대장 관리용'!H104</f>
        <v>0</v>
      </c>
      <c r="E109" s="138">
        <f>'휴가대장 관리용'!I104</f>
        <v>0</v>
      </c>
      <c r="F109" s="139">
        <f>'휴가대장 관리용'!J104</f>
        <v>0</v>
      </c>
      <c r="G109" s="140">
        <f>'휴가대장 관리용'!K104</f>
        <v>0</v>
      </c>
      <c r="H109" s="141">
        <f>'휴가대장 관리용'!L104</f>
        <v>0</v>
      </c>
      <c r="I109" s="141">
        <f>'휴가대장 관리용'!M104</f>
        <v>0</v>
      </c>
      <c r="J109" s="141">
        <f>'휴가대장 관리용'!N104</f>
        <v>0</v>
      </c>
      <c r="K109" s="141">
        <f>'휴가대장 관리용'!O104</f>
        <v>0</v>
      </c>
      <c r="L109" s="141">
        <f>'휴가대장 관리용'!P104</f>
        <v>0</v>
      </c>
      <c r="M109" s="141">
        <f>'휴가대장 관리용'!Q104</f>
        <v>0</v>
      </c>
      <c r="N109" s="141">
        <f>'휴가대장 관리용'!R104</f>
        <v>0</v>
      </c>
      <c r="O109" s="141">
        <f>'휴가대장 관리용'!S104</f>
        <v>0</v>
      </c>
      <c r="P109" s="141">
        <f>'휴가대장 관리용'!T104</f>
        <v>0</v>
      </c>
      <c r="Q109" s="141">
        <f>'휴가대장 관리용'!U104</f>
        <v>0</v>
      </c>
      <c r="R109" s="142">
        <f>'휴가대장 관리용'!V104</f>
        <v>0</v>
      </c>
    </row>
    <row r="110" spans="1:18" ht="32.1" customHeight="1" x14ac:dyDescent="0.4">
      <c r="A110" s="158">
        <v>98</v>
      </c>
      <c r="B110" s="89">
        <f>'휴가대장 관리용'!C105</f>
        <v>0</v>
      </c>
      <c r="C110" s="130" t="str">
        <f>'휴가대장 관리용'!D105</f>
        <v>-</v>
      </c>
      <c r="D110" s="137">
        <f>'휴가대장 관리용'!H105</f>
        <v>0</v>
      </c>
      <c r="E110" s="138">
        <f>'휴가대장 관리용'!I105</f>
        <v>0</v>
      </c>
      <c r="F110" s="139">
        <f>'휴가대장 관리용'!J105</f>
        <v>0</v>
      </c>
      <c r="G110" s="140">
        <f>'휴가대장 관리용'!K105</f>
        <v>0</v>
      </c>
      <c r="H110" s="141">
        <f>'휴가대장 관리용'!L105</f>
        <v>0</v>
      </c>
      <c r="I110" s="141">
        <f>'휴가대장 관리용'!M105</f>
        <v>0</v>
      </c>
      <c r="J110" s="141">
        <f>'휴가대장 관리용'!N105</f>
        <v>0</v>
      </c>
      <c r="K110" s="141">
        <f>'휴가대장 관리용'!O105</f>
        <v>0</v>
      </c>
      <c r="L110" s="141">
        <f>'휴가대장 관리용'!P105</f>
        <v>0</v>
      </c>
      <c r="M110" s="141">
        <f>'휴가대장 관리용'!Q105</f>
        <v>0</v>
      </c>
      <c r="N110" s="141">
        <f>'휴가대장 관리용'!R105</f>
        <v>0</v>
      </c>
      <c r="O110" s="141">
        <f>'휴가대장 관리용'!S105</f>
        <v>0</v>
      </c>
      <c r="P110" s="141">
        <f>'휴가대장 관리용'!T105</f>
        <v>0</v>
      </c>
      <c r="Q110" s="141">
        <f>'휴가대장 관리용'!U105</f>
        <v>0</v>
      </c>
      <c r="R110" s="142">
        <f>'휴가대장 관리용'!V105</f>
        <v>0</v>
      </c>
    </row>
    <row r="111" spans="1:18" ht="32.1" customHeight="1" x14ac:dyDescent="0.4">
      <c r="A111" s="158">
        <v>99</v>
      </c>
      <c r="B111" s="89">
        <f>'휴가대장 관리용'!C106</f>
        <v>0</v>
      </c>
      <c r="C111" s="130" t="str">
        <f>'휴가대장 관리용'!D106</f>
        <v>-</v>
      </c>
      <c r="D111" s="137">
        <f>'휴가대장 관리용'!H106</f>
        <v>0</v>
      </c>
      <c r="E111" s="138">
        <f>'휴가대장 관리용'!I106</f>
        <v>0</v>
      </c>
      <c r="F111" s="139">
        <f>'휴가대장 관리용'!J106</f>
        <v>0</v>
      </c>
      <c r="G111" s="140">
        <f>'휴가대장 관리용'!K106</f>
        <v>0</v>
      </c>
      <c r="H111" s="141">
        <f>'휴가대장 관리용'!L106</f>
        <v>0</v>
      </c>
      <c r="I111" s="141">
        <f>'휴가대장 관리용'!M106</f>
        <v>0</v>
      </c>
      <c r="J111" s="141">
        <f>'휴가대장 관리용'!N106</f>
        <v>0</v>
      </c>
      <c r="K111" s="141">
        <f>'휴가대장 관리용'!O106</f>
        <v>0</v>
      </c>
      <c r="L111" s="141">
        <f>'휴가대장 관리용'!P106</f>
        <v>0</v>
      </c>
      <c r="M111" s="141">
        <f>'휴가대장 관리용'!Q106</f>
        <v>0</v>
      </c>
      <c r="N111" s="141">
        <f>'휴가대장 관리용'!R106</f>
        <v>0</v>
      </c>
      <c r="O111" s="141">
        <f>'휴가대장 관리용'!S106</f>
        <v>0</v>
      </c>
      <c r="P111" s="141">
        <f>'휴가대장 관리용'!T106</f>
        <v>0</v>
      </c>
      <c r="Q111" s="141">
        <f>'휴가대장 관리용'!U106</f>
        <v>0</v>
      </c>
      <c r="R111" s="142">
        <f>'휴가대장 관리용'!V106</f>
        <v>0</v>
      </c>
    </row>
    <row r="112" spans="1:18" ht="32.1" customHeight="1" thickBot="1" x14ac:dyDescent="0.45">
      <c r="A112" s="159">
        <v>100</v>
      </c>
      <c r="B112" s="93">
        <f>'휴가대장 관리용'!C107</f>
        <v>0</v>
      </c>
      <c r="C112" s="143" t="str">
        <f>'휴가대장 관리용'!D107</f>
        <v>-</v>
      </c>
      <c r="D112" s="144">
        <f>'휴가대장 관리용'!H107</f>
        <v>0</v>
      </c>
      <c r="E112" s="145">
        <f>'휴가대장 관리용'!I107</f>
        <v>0</v>
      </c>
      <c r="F112" s="146">
        <f>'휴가대장 관리용'!J107</f>
        <v>0</v>
      </c>
      <c r="G112" s="147">
        <f>'휴가대장 관리용'!K107</f>
        <v>0</v>
      </c>
      <c r="H112" s="148">
        <f>'휴가대장 관리용'!L107</f>
        <v>0</v>
      </c>
      <c r="I112" s="148">
        <f>'휴가대장 관리용'!M107</f>
        <v>0</v>
      </c>
      <c r="J112" s="148">
        <f>'휴가대장 관리용'!N107</f>
        <v>0</v>
      </c>
      <c r="K112" s="148">
        <f>'휴가대장 관리용'!O107</f>
        <v>0</v>
      </c>
      <c r="L112" s="148">
        <f>'휴가대장 관리용'!P107</f>
        <v>0</v>
      </c>
      <c r="M112" s="148">
        <f>'휴가대장 관리용'!Q107</f>
        <v>0</v>
      </c>
      <c r="N112" s="148">
        <f>'휴가대장 관리용'!R107</f>
        <v>0</v>
      </c>
      <c r="O112" s="148">
        <f>'휴가대장 관리용'!S107</f>
        <v>0</v>
      </c>
      <c r="P112" s="148">
        <f>'휴가대장 관리용'!T107</f>
        <v>0</v>
      </c>
      <c r="Q112" s="148">
        <f>'휴가대장 관리용'!U107</f>
        <v>0</v>
      </c>
      <c r="R112" s="149">
        <f>'휴가대장 관리용'!V107</f>
        <v>0</v>
      </c>
    </row>
    <row r="113" spans="3:6" s="41" customFormat="1" x14ac:dyDescent="0.4">
      <c r="C113" s="42"/>
      <c r="D113" s="43"/>
      <c r="E113" s="44"/>
      <c r="F113" s="44"/>
    </row>
    <row r="114" spans="3:6" s="41" customFormat="1" x14ac:dyDescent="0.4">
      <c r="C114" s="42"/>
      <c r="D114" s="43"/>
      <c r="E114" s="44"/>
      <c r="F114" s="44"/>
    </row>
    <row r="115" spans="3:6" s="41" customFormat="1" x14ac:dyDescent="0.4">
      <c r="C115" s="42"/>
      <c r="D115" s="43"/>
      <c r="E115" s="44"/>
      <c r="F115" s="44"/>
    </row>
    <row r="116" spans="3:6" s="41" customFormat="1" x14ac:dyDescent="0.4">
      <c r="C116" s="42"/>
      <c r="D116" s="43"/>
      <c r="E116" s="44"/>
      <c r="F116" s="44"/>
    </row>
    <row r="117" spans="3:6" s="41" customFormat="1" x14ac:dyDescent="0.4">
      <c r="C117" s="42"/>
      <c r="D117" s="43"/>
      <c r="E117" s="44"/>
      <c r="F117" s="44"/>
    </row>
    <row r="118" spans="3:6" s="41" customFormat="1" x14ac:dyDescent="0.4">
      <c r="C118" s="42"/>
      <c r="D118" s="43"/>
      <c r="E118" s="44"/>
      <c r="F118" s="44"/>
    </row>
    <row r="119" spans="3:6" s="41" customFormat="1" x14ac:dyDescent="0.4">
      <c r="C119" s="42"/>
      <c r="D119" s="43"/>
      <c r="E119" s="44"/>
      <c r="F119" s="44"/>
    </row>
    <row r="120" spans="3:6" s="41" customFormat="1" x14ac:dyDescent="0.4">
      <c r="C120" s="42"/>
      <c r="D120" s="43"/>
      <c r="E120" s="44"/>
      <c r="F120" s="44"/>
    </row>
    <row r="121" spans="3:6" s="41" customFormat="1" x14ac:dyDescent="0.4">
      <c r="C121" s="42"/>
      <c r="D121" s="43"/>
      <c r="E121" s="44"/>
      <c r="F121" s="44"/>
    </row>
    <row r="122" spans="3:6" s="41" customFormat="1" x14ac:dyDescent="0.4">
      <c r="C122" s="42"/>
      <c r="D122" s="43"/>
      <c r="E122" s="44"/>
      <c r="F122" s="44"/>
    </row>
    <row r="123" spans="3:6" s="41" customFormat="1" x14ac:dyDescent="0.4">
      <c r="C123" s="42"/>
      <c r="D123" s="43"/>
      <c r="E123" s="44"/>
      <c r="F123" s="44"/>
    </row>
    <row r="124" spans="3:6" s="41" customFormat="1" x14ac:dyDescent="0.4">
      <c r="C124" s="42"/>
      <c r="D124" s="43"/>
      <c r="E124" s="44"/>
      <c r="F124" s="44"/>
    </row>
    <row r="125" spans="3:6" s="41" customFormat="1" x14ac:dyDescent="0.4">
      <c r="C125" s="42"/>
      <c r="D125" s="43"/>
      <c r="E125" s="44"/>
      <c r="F125" s="44"/>
    </row>
    <row r="126" spans="3:6" s="41" customFormat="1" x14ac:dyDescent="0.4">
      <c r="C126" s="42"/>
      <c r="D126" s="43"/>
      <c r="E126" s="44"/>
      <c r="F126" s="44"/>
    </row>
    <row r="127" spans="3:6" s="41" customFormat="1" x14ac:dyDescent="0.4">
      <c r="C127" s="42"/>
      <c r="D127" s="43"/>
      <c r="E127" s="44"/>
      <c r="F127" s="44"/>
    </row>
    <row r="128" spans="3:6" s="41" customFormat="1" x14ac:dyDescent="0.4">
      <c r="C128" s="42"/>
      <c r="D128" s="43"/>
      <c r="E128" s="44"/>
      <c r="F128" s="44"/>
    </row>
    <row r="129" spans="3:6" s="41" customFormat="1" x14ac:dyDescent="0.4">
      <c r="C129" s="42"/>
      <c r="D129" s="43"/>
      <c r="E129" s="44"/>
      <c r="F129" s="44"/>
    </row>
    <row r="130" spans="3:6" s="41" customFormat="1" x14ac:dyDescent="0.4">
      <c r="C130" s="42"/>
      <c r="D130" s="43"/>
      <c r="E130" s="44"/>
      <c r="F130" s="44"/>
    </row>
    <row r="131" spans="3:6" s="41" customFormat="1" x14ac:dyDescent="0.4">
      <c r="C131" s="42"/>
      <c r="D131" s="43"/>
      <c r="E131" s="44"/>
      <c r="F131" s="44"/>
    </row>
    <row r="132" spans="3:6" s="41" customFormat="1" x14ac:dyDescent="0.4">
      <c r="C132" s="42"/>
      <c r="D132" s="43"/>
      <c r="E132" s="44"/>
      <c r="F132" s="44"/>
    </row>
    <row r="133" spans="3:6" s="41" customFormat="1" x14ac:dyDescent="0.4">
      <c r="C133" s="42"/>
      <c r="D133" s="43"/>
      <c r="E133" s="44"/>
      <c r="F133" s="44"/>
    </row>
    <row r="134" spans="3:6" s="41" customFormat="1" x14ac:dyDescent="0.4">
      <c r="C134" s="42"/>
      <c r="D134" s="43"/>
      <c r="E134" s="44"/>
      <c r="F134" s="44"/>
    </row>
    <row r="135" spans="3:6" s="41" customFormat="1" x14ac:dyDescent="0.4">
      <c r="C135" s="42"/>
      <c r="D135" s="43"/>
      <c r="E135" s="44"/>
      <c r="F135" s="44"/>
    </row>
    <row r="136" spans="3:6" s="41" customFormat="1" x14ac:dyDescent="0.4">
      <c r="C136" s="42"/>
      <c r="D136" s="43"/>
      <c r="E136" s="44"/>
      <c r="F136" s="44"/>
    </row>
    <row r="137" spans="3:6" s="41" customFormat="1" x14ac:dyDescent="0.4">
      <c r="C137" s="42"/>
      <c r="D137" s="43"/>
      <c r="E137" s="44"/>
      <c r="F137" s="44"/>
    </row>
    <row r="138" spans="3:6" s="41" customFormat="1" x14ac:dyDescent="0.4">
      <c r="C138" s="42"/>
      <c r="D138" s="43"/>
      <c r="E138" s="44"/>
      <c r="F138" s="44"/>
    </row>
    <row r="139" spans="3:6" s="41" customFormat="1" x14ac:dyDescent="0.4">
      <c r="C139" s="42"/>
      <c r="D139" s="43"/>
      <c r="E139" s="44"/>
      <c r="F139" s="44"/>
    </row>
    <row r="140" spans="3:6" s="41" customFormat="1" x14ac:dyDescent="0.4">
      <c r="C140" s="42"/>
      <c r="D140" s="43"/>
      <c r="E140" s="44"/>
      <c r="F140" s="44"/>
    </row>
    <row r="141" spans="3:6" s="41" customFormat="1" x14ac:dyDescent="0.4">
      <c r="C141" s="42"/>
      <c r="D141" s="43"/>
      <c r="E141" s="44"/>
      <c r="F141" s="44"/>
    </row>
    <row r="142" spans="3:6" s="41" customFormat="1" x14ac:dyDescent="0.4">
      <c r="C142" s="42"/>
      <c r="D142" s="43"/>
      <c r="E142" s="44"/>
      <c r="F142" s="44"/>
    </row>
    <row r="143" spans="3:6" s="41" customFormat="1" x14ac:dyDescent="0.4">
      <c r="C143" s="42"/>
      <c r="D143" s="43"/>
      <c r="E143" s="44"/>
      <c r="F143" s="44"/>
    </row>
    <row r="144" spans="3:6" s="41" customFormat="1" x14ac:dyDescent="0.4">
      <c r="C144" s="42"/>
      <c r="D144" s="43"/>
      <c r="E144" s="44"/>
      <c r="F144" s="44"/>
    </row>
    <row r="145" spans="3:6" s="41" customFormat="1" x14ac:dyDescent="0.4">
      <c r="C145" s="42"/>
      <c r="D145" s="43"/>
      <c r="E145" s="44"/>
      <c r="F145" s="44"/>
    </row>
    <row r="146" spans="3:6" s="41" customFormat="1" x14ac:dyDescent="0.4">
      <c r="C146" s="42"/>
      <c r="D146" s="43"/>
      <c r="E146" s="44"/>
      <c r="F146" s="44"/>
    </row>
    <row r="147" spans="3:6" s="41" customFormat="1" x14ac:dyDescent="0.4">
      <c r="C147" s="42"/>
      <c r="D147" s="43"/>
      <c r="E147" s="44"/>
      <c r="F147" s="44"/>
    </row>
    <row r="148" spans="3:6" s="41" customFormat="1" x14ac:dyDescent="0.4">
      <c r="C148" s="42"/>
      <c r="D148" s="43"/>
      <c r="E148" s="44"/>
      <c r="F148" s="44"/>
    </row>
    <row r="149" spans="3:6" s="41" customFormat="1" x14ac:dyDescent="0.4">
      <c r="C149" s="42"/>
      <c r="D149" s="43"/>
      <c r="E149" s="44"/>
      <c r="F149" s="44"/>
    </row>
    <row r="150" spans="3:6" s="41" customFormat="1" x14ac:dyDescent="0.4">
      <c r="C150" s="42"/>
      <c r="D150" s="43"/>
      <c r="E150" s="44"/>
      <c r="F150" s="44"/>
    </row>
    <row r="151" spans="3:6" s="41" customFormat="1" x14ac:dyDescent="0.4">
      <c r="C151" s="42"/>
      <c r="D151" s="43"/>
      <c r="E151" s="44"/>
      <c r="F151" s="44"/>
    </row>
    <row r="152" spans="3:6" s="41" customFormat="1" x14ac:dyDescent="0.4">
      <c r="C152" s="42"/>
      <c r="D152" s="43"/>
      <c r="E152" s="44"/>
      <c r="F152" s="44"/>
    </row>
    <row r="153" spans="3:6" s="41" customFormat="1" x14ac:dyDescent="0.4">
      <c r="C153" s="42"/>
      <c r="D153" s="43"/>
      <c r="E153" s="44"/>
      <c r="F153" s="44"/>
    </row>
    <row r="154" spans="3:6" s="41" customFormat="1" x14ac:dyDescent="0.4">
      <c r="C154" s="42"/>
      <c r="D154" s="43"/>
      <c r="E154" s="44"/>
      <c r="F154" s="44"/>
    </row>
    <row r="155" spans="3:6" s="41" customFormat="1" x14ac:dyDescent="0.4">
      <c r="C155" s="42"/>
      <c r="D155" s="43"/>
      <c r="E155" s="44"/>
      <c r="F155" s="44"/>
    </row>
    <row r="156" spans="3:6" s="41" customFormat="1" x14ac:dyDescent="0.4">
      <c r="C156" s="42"/>
      <c r="D156" s="43"/>
      <c r="E156" s="44"/>
      <c r="F156" s="44"/>
    </row>
  </sheetData>
  <sheetProtection algorithmName="SHA-512" hashValue="CM2/Zbznf4XGEeUg2/0c2EvoEhh7SoCxIA+TG0oXVC4NHUngBJQcuqv8njT0UNlF2s4oVbeBr+P2XyhxEB/srw==" saltValue="yt5waYE0PUpGzSVz9Qyz0Q==" spinCount="100000" sheet="1" objects="1" scenarios="1"/>
  <mergeCells count="11">
    <mergeCell ref="Q4:Q5"/>
    <mergeCell ref="P4:P5"/>
    <mergeCell ref="R4:R5"/>
    <mergeCell ref="F11:F12"/>
    <mergeCell ref="G11:R11"/>
    <mergeCell ref="A7:F10"/>
    <mergeCell ref="A11:A12"/>
    <mergeCell ref="B11:B12"/>
    <mergeCell ref="C11:C12"/>
    <mergeCell ref="D11:D12"/>
    <mergeCell ref="E11:E1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AA89B-6CC2-42AD-A9A4-27DB5556C4BE}">
  <sheetPr codeName="Sheet5">
    <tabColor theme="4" tint="-0.249977111117893"/>
  </sheetPr>
  <dimension ref="B9:U28"/>
  <sheetViews>
    <sheetView workbookViewId="0">
      <selection activeCell="E40" sqref="E40"/>
    </sheetView>
  </sheetViews>
  <sheetFormatPr defaultColWidth="9" defaultRowHeight="17.399999999999999" x14ac:dyDescent="0.4"/>
  <cols>
    <col min="1" max="16384" width="9" style="2"/>
  </cols>
  <sheetData>
    <row r="9" spans="2:21" ht="19.2" x14ac:dyDescent="0.4">
      <c r="B9" s="116" t="s">
        <v>48</v>
      </c>
      <c r="C9" s="117"/>
      <c r="D9" s="117"/>
      <c r="E9" s="117"/>
      <c r="F9" s="117"/>
      <c r="G9" s="117"/>
      <c r="H9" s="117"/>
      <c r="I9" s="117"/>
    </row>
    <row r="10" spans="2:21" x14ac:dyDescent="0.4">
      <c r="B10" s="27" t="s">
        <v>45</v>
      </c>
    </row>
    <row r="13" spans="2:21" ht="20.25" customHeight="1" x14ac:dyDescent="0.4">
      <c r="B13" s="116" t="s">
        <v>49</v>
      </c>
      <c r="C13" s="117"/>
      <c r="D13" s="117"/>
      <c r="E13" s="117"/>
      <c r="F13" s="117"/>
      <c r="G13" s="117"/>
      <c r="H13" s="117"/>
      <c r="I13" s="117"/>
      <c r="Q13" s="26"/>
      <c r="R13" s="26"/>
      <c r="S13" s="26"/>
      <c r="T13" s="26"/>
      <c r="U13" s="26"/>
    </row>
    <row r="14" spans="2:21" x14ac:dyDescent="0.4">
      <c r="B14" s="27" t="s">
        <v>46</v>
      </c>
    </row>
    <row r="15" spans="2:21" x14ac:dyDescent="0.4">
      <c r="B15" s="150" t="s">
        <v>47</v>
      </c>
    </row>
    <row r="16" spans="2:21" x14ac:dyDescent="0.4">
      <c r="B16" s="150" t="s">
        <v>52</v>
      </c>
    </row>
    <row r="28" spans="2:9" x14ac:dyDescent="0.4">
      <c r="B28" s="118" t="s">
        <v>54</v>
      </c>
      <c r="C28" s="117"/>
      <c r="D28" s="117"/>
      <c r="E28" s="117"/>
      <c r="F28" s="117"/>
      <c r="G28" s="117"/>
      <c r="H28" s="117"/>
      <c r="I28" s="117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F74D7-5154-42F7-BF97-C12246A09F16}">
  <dimension ref="A1:R47"/>
  <sheetViews>
    <sheetView topLeftCell="D4" zoomScaleNormal="100" workbookViewId="0">
      <selection activeCell="K36" sqref="K36"/>
    </sheetView>
  </sheetViews>
  <sheetFormatPr defaultRowHeight="17.399999999999999" x14ac:dyDescent="0.4"/>
  <cols>
    <col min="2" max="4" width="10.09765625" bestFit="1" customWidth="1"/>
    <col min="5" max="6" width="11.09765625" bestFit="1" customWidth="1"/>
    <col min="7" max="7" width="13.59765625" customWidth="1"/>
    <col min="8" max="8" width="17.19921875" bestFit="1" customWidth="1"/>
    <col min="9" max="9" width="12.5" bestFit="1" customWidth="1"/>
    <col min="10" max="10" width="11.09765625" bestFit="1" customWidth="1"/>
  </cols>
  <sheetData>
    <row r="1" spans="1:3" x14ac:dyDescent="0.4">
      <c r="A1" t="s">
        <v>131</v>
      </c>
      <c r="B1" t="s">
        <v>1</v>
      </c>
      <c r="C1" t="s">
        <v>16</v>
      </c>
    </row>
    <row r="2" spans="1:3" x14ac:dyDescent="0.4">
      <c r="A2" t="s">
        <v>77</v>
      </c>
      <c r="B2" t="s">
        <v>112</v>
      </c>
      <c r="C2">
        <f>IF(DATEDIF(B2, DATE(2025,1,1), "Y")&lt;1, 0,
   MIN(15 + INT((DATEDIF(B2, DATE(2025,1,1), "Y") - 1) / 2), 25))</f>
        <v>25</v>
      </c>
    </row>
    <row r="3" spans="1:3" x14ac:dyDescent="0.4">
      <c r="A3" t="s">
        <v>78</v>
      </c>
      <c r="B3" t="s">
        <v>113</v>
      </c>
      <c r="C3">
        <f t="shared" ref="C3:C30" si="0">IF(DATEDIF(B3, DATE(2025,1,1), "Y")&lt;1, 0,
   MIN(15 + INT((DATEDIF(B3, DATE(2025,1,1), "Y") - 1) / 2), 25))</f>
        <v>25</v>
      </c>
    </row>
    <row r="4" spans="1:3" x14ac:dyDescent="0.4">
      <c r="A4" t="s">
        <v>79</v>
      </c>
      <c r="B4" t="s">
        <v>114</v>
      </c>
      <c r="C4">
        <f t="shared" si="0"/>
        <v>25</v>
      </c>
    </row>
    <row r="5" spans="1:3" x14ac:dyDescent="0.4">
      <c r="A5" t="s">
        <v>80</v>
      </c>
      <c r="B5" t="s">
        <v>115</v>
      </c>
      <c r="C5">
        <f t="shared" si="0"/>
        <v>25</v>
      </c>
    </row>
    <row r="6" spans="1:3" x14ac:dyDescent="0.4">
      <c r="A6" t="s">
        <v>81</v>
      </c>
      <c r="B6" t="s">
        <v>116</v>
      </c>
      <c r="C6">
        <f t="shared" si="0"/>
        <v>24</v>
      </c>
    </row>
    <row r="7" spans="1:3" x14ac:dyDescent="0.4">
      <c r="A7" t="s">
        <v>82</v>
      </c>
      <c r="B7" t="s">
        <v>117</v>
      </c>
      <c r="C7">
        <f t="shared" si="0"/>
        <v>24</v>
      </c>
    </row>
    <row r="8" spans="1:3" x14ac:dyDescent="0.4">
      <c r="A8" t="s">
        <v>83</v>
      </c>
      <c r="B8" t="s">
        <v>101</v>
      </c>
      <c r="C8">
        <f t="shared" si="0"/>
        <v>20</v>
      </c>
    </row>
    <row r="9" spans="1:3" x14ac:dyDescent="0.4">
      <c r="A9" t="s">
        <v>84</v>
      </c>
      <c r="B9" t="s">
        <v>102</v>
      </c>
      <c r="C9">
        <f t="shared" si="0"/>
        <v>20</v>
      </c>
    </row>
    <row r="10" spans="1:3" x14ac:dyDescent="0.4">
      <c r="A10" t="s">
        <v>85</v>
      </c>
      <c r="B10" t="s">
        <v>103</v>
      </c>
      <c r="C10">
        <f t="shared" si="0"/>
        <v>19</v>
      </c>
    </row>
    <row r="11" spans="1:3" x14ac:dyDescent="0.4">
      <c r="A11" t="s">
        <v>86</v>
      </c>
      <c r="B11" t="s">
        <v>118</v>
      </c>
      <c r="C11">
        <f t="shared" si="0"/>
        <v>23</v>
      </c>
    </row>
    <row r="12" spans="1:3" x14ac:dyDescent="0.4">
      <c r="A12" t="s">
        <v>87</v>
      </c>
      <c r="B12" t="s">
        <v>119</v>
      </c>
      <c r="C12">
        <f t="shared" si="0"/>
        <v>17</v>
      </c>
    </row>
    <row r="13" spans="1:3" x14ac:dyDescent="0.4">
      <c r="A13" t="s">
        <v>88</v>
      </c>
      <c r="B13" t="s">
        <v>104</v>
      </c>
      <c r="C13">
        <f t="shared" si="0"/>
        <v>17</v>
      </c>
    </row>
    <row r="14" spans="1:3" x14ac:dyDescent="0.4">
      <c r="A14" t="s">
        <v>89</v>
      </c>
      <c r="B14" t="s">
        <v>105</v>
      </c>
      <c r="C14">
        <f t="shared" si="0"/>
        <v>17</v>
      </c>
    </row>
    <row r="15" spans="1:3" x14ac:dyDescent="0.4">
      <c r="A15" t="s">
        <v>90</v>
      </c>
      <c r="B15" t="s">
        <v>106</v>
      </c>
      <c r="C15">
        <f t="shared" si="0"/>
        <v>17</v>
      </c>
    </row>
    <row r="16" spans="1:3" x14ac:dyDescent="0.4">
      <c r="A16" t="s">
        <v>91</v>
      </c>
      <c r="B16" t="s">
        <v>105</v>
      </c>
      <c r="C16">
        <f t="shared" si="0"/>
        <v>17</v>
      </c>
    </row>
    <row r="17" spans="1:18" x14ac:dyDescent="0.4">
      <c r="A17" t="s">
        <v>92</v>
      </c>
      <c r="B17" t="s">
        <v>107</v>
      </c>
      <c r="C17">
        <f t="shared" si="0"/>
        <v>17</v>
      </c>
      <c r="Q17" s="160"/>
    </row>
    <row r="18" spans="1:18" x14ac:dyDescent="0.4">
      <c r="A18" s="160" t="s">
        <v>93</v>
      </c>
      <c r="B18" t="s">
        <v>108</v>
      </c>
      <c r="C18">
        <f t="shared" si="0"/>
        <v>17</v>
      </c>
      <c r="Q18" t="s">
        <v>98</v>
      </c>
      <c r="R18">
        <v>15</v>
      </c>
    </row>
    <row r="19" spans="1:18" x14ac:dyDescent="0.4">
      <c r="A19" t="s">
        <v>94</v>
      </c>
      <c r="B19" t="s">
        <v>109</v>
      </c>
      <c r="C19">
        <f t="shared" si="0"/>
        <v>17</v>
      </c>
      <c r="Q19" t="s">
        <v>93</v>
      </c>
      <c r="R19">
        <v>18</v>
      </c>
    </row>
    <row r="20" spans="1:18" x14ac:dyDescent="0.4">
      <c r="A20" t="s">
        <v>95</v>
      </c>
      <c r="B20" t="s">
        <v>120</v>
      </c>
      <c r="C20">
        <f t="shared" si="0"/>
        <v>17</v>
      </c>
      <c r="Q20" t="s">
        <v>82</v>
      </c>
      <c r="R20">
        <v>25</v>
      </c>
    </row>
    <row r="21" spans="1:18" x14ac:dyDescent="0.4">
      <c r="A21" t="s">
        <v>97</v>
      </c>
      <c r="B21" t="s">
        <v>110</v>
      </c>
      <c r="C21">
        <f t="shared" si="0"/>
        <v>15</v>
      </c>
      <c r="Q21" t="s">
        <v>83</v>
      </c>
      <c r="R21">
        <v>20</v>
      </c>
    </row>
    <row r="22" spans="1:18" x14ac:dyDescent="0.4">
      <c r="A22" t="s">
        <v>96</v>
      </c>
      <c r="B22" s="160" t="s">
        <v>111</v>
      </c>
      <c r="C22">
        <f t="shared" si="0"/>
        <v>15</v>
      </c>
      <c r="H22" t="s">
        <v>171</v>
      </c>
      <c r="Q22" t="s">
        <v>95</v>
      </c>
      <c r="R22">
        <v>18</v>
      </c>
    </row>
    <row r="23" spans="1:18" x14ac:dyDescent="0.4">
      <c r="A23" s="160" t="s">
        <v>98</v>
      </c>
      <c r="B23" t="s">
        <v>121</v>
      </c>
      <c r="C23">
        <f t="shared" si="0"/>
        <v>15</v>
      </c>
      <c r="Q23" t="s">
        <v>79</v>
      </c>
      <c r="R23">
        <v>25</v>
      </c>
    </row>
    <row r="24" spans="1:18" x14ac:dyDescent="0.4">
      <c r="A24" t="s">
        <v>99</v>
      </c>
      <c r="B24" t="s">
        <v>122</v>
      </c>
      <c r="C24">
        <f t="shared" si="0"/>
        <v>15</v>
      </c>
      <c r="F24" t="s">
        <v>96</v>
      </c>
      <c r="G24" t="s">
        <v>111</v>
      </c>
      <c r="H24" t="s">
        <v>172</v>
      </c>
      <c r="Q24" s="160" t="s">
        <v>87</v>
      </c>
      <c r="R24">
        <v>17</v>
      </c>
    </row>
    <row r="25" spans="1:18" x14ac:dyDescent="0.4">
      <c r="G25" s="162">
        <v>44927</v>
      </c>
      <c r="H25">
        <v>15</v>
      </c>
      <c r="I25" s="162" t="s">
        <v>173</v>
      </c>
      <c r="J25" s="162"/>
      <c r="Q25" s="160"/>
    </row>
    <row r="26" spans="1:18" x14ac:dyDescent="0.4">
      <c r="G26" s="162">
        <v>45292</v>
      </c>
      <c r="H26">
        <v>15</v>
      </c>
      <c r="I26" s="162" t="s">
        <v>174</v>
      </c>
      <c r="J26" s="162"/>
      <c r="Q26" s="160"/>
    </row>
    <row r="27" spans="1:18" x14ac:dyDescent="0.4">
      <c r="G27" s="162">
        <v>45658</v>
      </c>
      <c r="H27">
        <v>15</v>
      </c>
      <c r="I27" s="162" t="s">
        <v>175</v>
      </c>
      <c r="J27" s="162"/>
      <c r="Q27" s="160"/>
    </row>
    <row r="28" spans="1:18" x14ac:dyDescent="0.4">
      <c r="G28" s="162">
        <v>46023</v>
      </c>
      <c r="H28">
        <v>16</v>
      </c>
      <c r="I28" s="162" t="s">
        <v>176</v>
      </c>
      <c r="J28" s="162"/>
      <c r="Q28" s="160"/>
    </row>
    <row r="29" spans="1:18" x14ac:dyDescent="0.4">
      <c r="A29" s="160" t="s">
        <v>100</v>
      </c>
      <c r="B29" s="160" t="s">
        <v>123</v>
      </c>
      <c r="C29">
        <f t="shared" si="0"/>
        <v>15</v>
      </c>
      <c r="F29" t="s">
        <v>98</v>
      </c>
      <c r="G29" t="s">
        <v>121</v>
      </c>
      <c r="H29">
        <v>15</v>
      </c>
      <c r="Q29" t="s">
        <v>92</v>
      </c>
      <c r="R29">
        <v>17</v>
      </c>
    </row>
    <row r="30" spans="1:18" x14ac:dyDescent="0.4">
      <c r="A30" t="s">
        <v>125</v>
      </c>
      <c r="B30" s="162">
        <v>45586</v>
      </c>
      <c r="C30">
        <f t="shared" si="0"/>
        <v>0</v>
      </c>
      <c r="F30" t="s">
        <v>99</v>
      </c>
      <c r="G30" t="s">
        <v>122</v>
      </c>
      <c r="H30">
        <v>15</v>
      </c>
      <c r="Q30" t="s">
        <v>89</v>
      </c>
      <c r="R30">
        <v>17</v>
      </c>
    </row>
    <row r="31" spans="1:18" x14ac:dyDescent="0.4">
      <c r="A31" s="160" t="s">
        <v>126</v>
      </c>
      <c r="B31" s="162">
        <v>45663</v>
      </c>
      <c r="C31">
        <v>0</v>
      </c>
      <c r="F31" t="s">
        <v>100</v>
      </c>
      <c r="G31" t="s">
        <v>123</v>
      </c>
      <c r="H31">
        <v>15</v>
      </c>
      <c r="Q31" t="s">
        <v>100</v>
      </c>
      <c r="R31">
        <v>15</v>
      </c>
    </row>
    <row r="32" spans="1:18" x14ac:dyDescent="0.4">
      <c r="F32" t="s">
        <v>125</v>
      </c>
      <c r="G32" s="162">
        <v>45586</v>
      </c>
      <c r="H32">
        <v>2</v>
      </c>
      <c r="Q32" t="s">
        <v>97</v>
      </c>
      <c r="R32">
        <v>15</v>
      </c>
    </row>
    <row r="33" spans="2:18" x14ac:dyDescent="0.4">
      <c r="B33" s="160"/>
      <c r="G33" s="162">
        <v>45658</v>
      </c>
      <c r="H33">
        <v>15</v>
      </c>
      <c r="I33" s="162" t="s">
        <v>173</v>
      </c>
      <c r="Q33" t="s">
        <v>77</v>
      </c>
      <c r="R33">
        <v>25</v>
      </c>
    </row>
    <row r="34" spans="2:18" x14ac:dyDescent="0.4">
      <c r="G34" s="162">
        <v>46023</v>
      </c>
      <c r="H34">
        <v>15</v>
      </c>
      <c r="I34" s="162" t="s">
        <v>174</v>
      </c>
      <c r="Q34" t="s">
        <v>96</v>
      </c>
      <c r="R34">
        <v>15</v>
      </c>
    </row>
    <row r="35" spans="2:18" x14ac:dyDescent="0.4">
      <c r="G35" s="162">
        <v>46388</v>
      </c>
      <c r="H35">
        <v>15</v>
      </c>
      <c r="I35" s="162" t="s">
        <v>175</v>
      </c>
      <c r="Q35" s="160" t="s">
        <v>94</v>
      </c>
      <c r="R35">
        <v>18</v>
      </c>
    </row>
    <row r="36" spans="2:18" x14ac:dyDescent="0.4">
      <c r="G36" s="162">
        <v>46753</v>
      </c>
      <c r="H36">
        <v>16</v>
      </c>
      <c r="I36" s="162" t="s">
        <v>176</v>
      </c>
      <c r="Q36" t="s">
        <v>85</v>
      </c>
      <c r="R36">
        <v>19</v>
      </c>
    </row>
    <row r="37" spans="2:18" x14ac:dyDescent="0.4">
      <c r="Q37" t="s">
        <v>80</v>
      </c>
      <c r="R37">
        <v>25</v>
      </c>
    </row>
    <row r="38" spans="2:18" x14ac:dyDescent="0.4">
      <c r="Q38" t="s">
        <v>125</v>
      </c>
      <c r="R38">
        <v>15</v>
      </c>
    </row>
    <row r="39" spans="2:18" x14ac:dyDescent="0.4">
      <c r="Q39" t="s">
        <v>126</v>
      </c>
      <c r="R39">
        <v>11</v>
      </c>
    </row>
    <row r="40" spans="2:18" x14ac:dyDescent="0.4">
      <c r="Q40" t="s">
        <v>99</v>
      </c>
      <c r="R40">
        <v>15</v>
      </c>
    </row>
    <row r="41" spans="2:18" x14ac:dyDescent="0.4">
      <c r="Q41" s="160" t="s">
        <v>86</v>
      </c>
      <c r="R41">
        <v>23</v>
      </c>
    </row>
    <row r="42" spans="2:18" x14ac:dyDescent="0.4">
      <c r="Q42" s="160" t="s">
        <v>88</v>
      </c>
      <c r="R42">
        <v>17</v>
      </c>
    </row>
    <row r="43" spans="2:18" x14ac:dyDescent="0.4">
      <c r="Q43" t="s">
        <v>90</v>
      </c>
      <c r="R43">
        <v>17</v>
      </c>
    </row>
    <row r="44" spans="2:18" x14ac:dyDescent="0.4">
      <c r="Q44" t="s">
        <v>91</v>
      </c>
      <c r="R44">
        <v>17</v>
      </c>
    </row>
    <row r="45" spans="2:18" x14ac:dyDescent="0.4">
      <c r="Q45" t="s">
        <v>84</v>
      </c>
      <c r="R45">
        <v>20</v>
      </c>
    </row>
    <row r="46" spans="2:18" x14ac:dyDescent="0.4">
      <c r="Q46" s="160" t="s">
        <v>78</v>
      </c>
      <c r="R46">
        <v>25</v>
      </c>
    </row>
    <row r="47" spans="2:18" x14ac:dyDescent="0.4">
      <c r="Q47" t="s">
        <v>81</v>
      </c>
      <c r="R47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사용설명</vt:lpstr>
      <vt:lpstr>사원명부</vt:lpstr>
      <vt:lpstr>휴가대장 관리용</vt:lpstr>
      <vt:lpstr>휴가대장 출력용</vt:lpstr>
      <vt:lpstr>관련정보</vt:lpstr>
      <vt:lpstr>Sheet1 (2)</vt:lpstr>
      <vt:lpstr>'휴가대장 출력용'!Print_Area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이우리</dc:creator>
  <cp:lastModifiedBy>정희웅</cp:lastModifiedBy>
  <cp:lastPrinted>2019-12-16T07:42:37Z</cp:lastPrinted>
  <dcterms:created xsi:type="dcterms:W3CDTF">2019-01-05T04:21:42Z</dcterms:created>
  <dcterms:modified xsi:type="dcterms:W3CDTF">2025-08-18T01:19:22Z</dcterms:modified>
</cp:coreProperties>
</file>